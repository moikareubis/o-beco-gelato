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tura" sheetId="1" state="visible" r:id="rId3"/>
    <sheet name="Temário" sheetId="2" state="visible" r:id="rId4"/>
    <sheet name="Semanas" sheetId="3" state="visible" r:id="rId5"/>
    <sheet name="Camada B2B" sheetId="4" state="visible" r:id="rId6"/>
    <sheet name="Régua" sheetId="5" state="visible" r:id="rId7"/>
    <sheet name="Decisões" sheetId="6" state="visible" r:id="rId8"/>
  </sheets>
  <definedNames>
    <definedName function="false" hidden="true" localSheetId="1" name="_xlnm._FilterDatabase" vbProcedure="false">Temário!$A$1:$G$28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<sst xmlns="http://schemas.openxmlformats.org/spreadsheetml/2006/main" count="415" uniqueCount="350">
  <si>
    <t xml:space="preserve">Temário Editorial — O Beco Gelato</t>
  </si>
  <si>
    <t xml:space="preserve">Outubro a dezembro de 2026 · material de discussão com o time de marketing</t>
  </si>
  <si>
    <t xml:space="preserve">Não vendemos renúncia, vendemos equilíbrio.</t>
  </si>
  <si>
    <t xml:space="preserve">Este documento é tema e intenção, não roteiro de peça. Cada linha diz o que a marca quer que a pessoa pense depois de ver — o formato é decisão de quem produz.</t>
  </si>
  <si>
    <t xml:space="preserve">O que as referências fazem</t>
  </si>
  <si>
    <t xml:space="preserve">Referência</t>
  </si>
  <si>
    <t xml:space="preserve">O que ela faz</t>
  </si>
  <si>
    <t xml:space="preserve">O que isso vira aqui</t>
  </si>
  <si>
    <t xml:space="preserve">Bacio di Latte — linha Bacio Zero</t>
  </si>
  <si>
    <t xml:space="preserve">Comunica a linha sem adição de açúcar sob o conceito 'zero dúvida': confiança e clareza, não privação. Os argumentos são sensoriais — sabor, textura, experiência — e não metas nutricionais. A linha zero é uma extensão dos sabores clássicos da casa, não um produto dietético à parte.</t>
  </si>
  <si>
    <t xml:space="preserve">O Beco já tem a frase certa ('não vendemos renúncia'). O que falta é disciplina: o atributo nunca abre a peça.</t>
  </si>
  <si>
    <t xml:space="preserve">Bacio di Latte — ocasiões</t>
  </si>
  <si>
    <t xml:space="preserve">A entrada no funcional é apresentada como forma de ampliar ocasiões de consumo, não de atingir um público novo.</t>
  </si>
  <si>
    <t xml:space="preserve">Por isso Ocasião é o eixo de maior peso aqui: é o que gera recompra, e é a lacuna do Beco hoje.</t>
  </si>
  <si>
    <t xml:space="preserve">Oakberry — marca</t>
  </si>
  <si>
    <t xml:space="preserve">Construiu cultura em torno do produto: 'não vendemos só açaí, vendemos estilo, propósito e experiência'. Trabalha visibilidade grande e ações de proximidade ao mesmo tempo.</t>
  </si>
  <si>
    <t xml:space="preserve">Na escala do Beco, proximidade é o que dá para fazer — e o pertencimento regional é a versão viável de cultura.</t>
  </si>
  <si>
    <t xml:space="preserve">Oakberry — canal de terceiros</t>
  </si>
  <si>
    <t xml:space="preserve">Na entrada em supermercados, o argumento público é aumentar o consumo em casa e a frequência de compra. Fala de categoria e de consumidor, não de margem do varejista.</t>
  </si>
  <si>
    <t xml:space="preserve">O conteúdo B2B do Beco deve seguir essa lógica: categoria e demanda primeiro, condição comercial só na proposta.</t>
  </si>
  <si>
    <t xml:space="preserve">As duas, sobre canal</t>
  </si>
  <si>
    <t xml:space="preserve">Nenhuma das duas usa o feed do consumidor para falar com lojista ou franqueado. Essa conversa vive em canal próprio: página de franquia e parceria, relação direta com o varejo, imprensa de negócios.</t>
  </si>
  <si>
    <t xml:space="preserve">Recomendação: tirar o B2B do feed e deixar no feed só a peça de dupla leitura.</t>
  </si>
  <si>
    <t xml:space="preserve">Dr. Peanut — saiu do fitness</t>
  </si>
  <si>
    <t xml:space="preserve">Tirou a pasta de amendoim do nicho funcional e levou para o território da sobremesa: sabores de doce (pistache, caramelo salgado), descritos como creme com textura de sobremesa de colher. Vende 'saudabilidade possível' sem abrir mão do sabor, e o produto deixa de depender do público de academia.</t>
  </si>
  <si>
    <t xml:space="preserve">É o caminho da Boost. Hoje ela é lida como linha proteica; ela compete melhor como sobremesa do que como suplemento.</t>
  </si>
  <si>
    <t xml:space="preserve">Dr. Peanut — restrição virou padrão</t>
  </si>
  <si>
    <t xml:space="preserve">Trocou a linha inteira para zero lactose em vez de criar uma sublinha. O fundador resume: 'não estamos agregando a linha zero lactose, estamos transformando todos os nossos sabores'. O argumento é sabor, não restrição.</t>
  </si>
  <si>
    <t xml:space="preserve">No Beco, Fresh e Special são zero lactose e a Boost não. Isso impede a marca de usar o atributo e obriga a falar linha por linha. É pergunta de marca antes de ser pergunta de fórmula.</t>
  </si>
  <si>
    <t xml:space="preserve">Amma — origem com endereço</t>
  </si>
  <si>
    <t xml:space="preserve">Cacau de fazendas do sul da Bahia, chocolate feito em Salvador, cultivo sem fertilizante sintético e causa de reflorestamento da Mata Atlântica. O premium está ancorado em procedência verificável, não em adjetivo.</t>
  </si>
  <si>
    <t xml:space="preserve">Baianidade sofisticada, que é o que você pede, se sustenta em endereço e procedência — não em paisagem.</t>
  </si>
  <si>
    <t xml:space="preserve">Amma — brasilidade sem folclore, e o ritual</t>
  </si>
  <si>
    <t xml:space="preserve">A loja ocupa uma casa modernista e trabalha com artistas brasileiros contemporâneos, em vez de imagem folclórica. E ensina a provar: mesa comunal, as sementes à vista, alguém explicando o que reparar em cada chocolate.</t>
  </si>
  <si>
    <t xml:space="preserve">Resolve na prática o 'sem clichê turístico' e transforma a degustação em experiência conduzida, não em amostra grátis.</t>
  </si>
  <si>
    <t xml:space="preserve">Os cinco eixos e o peso</t>
  </si>
  <si>
    <t xml:space="preserve">Eixo</t>
  </si>
  <si>
    <t xml:space="preserve">Nome</t>
  </si>
  <si>
    <t xml:space="preserve">Intenção do eixo</t>
  </si>
  <si>
    <t xml:space="preserve">Peso</t>
  </si>
  <si>
    <t xml:space="preserve">E1</t>
  </si>
  <si>
    <t xml:space="preserve">Categoria</t>
  </si>
  <si>
    <t xml:space="preserve">Criar a régua pela qual o consumidor julga qualquer gelato — inclusive o nosso. Sem essa régua, o preço não se sustenta e o 'sem açúcar' é lido como dieta.</t>
  </si>
  <si>
    <t xml:space="preserve">2 em 10</t>
  </si>
  <si>
    <t xml:space="preserve">E2</t>
  </si>
  <si>
    <t xml:space="preserve">Produto e processo</t>
  </si>
  <si>
    <t xml:space="preserve">Provar o artesanal com matéria-prima e decisão, não com adjetivo. É o que uma marca com dono faz e uma marca nacional não consegue copiar.</t>
  </si>
  <si>
    <t xml:space="preserve">E3</t>
  </si>
  <si>
    <t xml:space="preserve">Ocasião</t>
  </si>
  <si>
    <t xml:space="preserve">Ampliar quando se come gelato: tirar da ocasião única da sorveteria no fim de semana e colocar no freezer de casa. É o eixo que gera recompra.</t>
  </si>
  <si>
    <t xml:space="preserve">3 em 10</t>
  </si>
  <si>
    <t xml:space="preserve">E4</t>
  </si>
  <si>
    <t xml:space="preserve">Lugar e gente</t>
  </si>
  <si>
    <t xml:space="preserve">Construir pertencimento regional premium. A marca é da Bahia com nome de bairro, não um genérico de litoral.</t>
  </si>
  <si>
    <t xml:space="preserve">E5</t>
  </si>
  <si>
    <t xml:space="preserve">Rede</t>
  </si>
  <si>
    <t xml:space="preserve">Mostrar a marca chegando perto. Converte no consumidor e sinaliza crescimento para quem olha com olho comercial.</t>
  </si>
  <si>
    <t xml:space="preserve">1 em 10</t>
  </si>
  <si>
    <t xml:space="preserve">A conta do temário</t>
  </si>
  <si>
    <t xml:space="preserve">Leitura</t>
  </si>
  <si>
    <t xml:space="preserve">Temas</t>
  </si>
  <si>
    <t xml:space="preserve">% do temário</t>
  </si>
  <si>
    <t xml:space="preserve">Temas só de consumidor</t>
  </si>
  <si>
    <t xml:space="preserve">Temas que falam com os dois</t>
  </si>
  <si>
    <t xml:space="preserve">Total de temas</t>
  </si>
  <si>
    <t xml:space="preserve">Tema</t>
  </si>
  <si>
    <t xml:space="preserve">Intenção — o que queremos que a pessoa pense</t>
  </si>
  <si>
    <t xml:space="preserve">Ângulo do Beco — o recorte que é só nosso</t>
  </si>
  <si>
    <t xml:space="preserve">Público</t>
  </si>
  <si>
    <t xml:space="preserve">Pergunta para o time</t>
  </si>
  <si>
    <t xml:space="preserve">Prioridade</t>
  </si>
  <si>
    <t xml:space="preserve">Gelato não é sorvete</t>
  </si>
  <si>
    <t xml:space="preserve">Justificar textura e preço antes de qualquer peça de produto. Quem não sabe a diferença acha caro.</t>
  </si>
  <si>
    <t xml:space="preserve">Explicado da bancada, com o produto na mão — não com infográfico de internet.</t>
  </si>
  <si>
    <t xml:space="preserve">B2C</t>
  </si>
  <si>
    <t xml:space="preserve">Quanta técnica o público aguenta antes de virar aula? Onde fica o limite entre autoridade e chatice?</t>
  </si>
  <si>
    <t xml:space="preserve">Sem adição de açúcar não é dieta</t>
  </si>
  <si>
    <t xml:space="preserve">Derrubar a objeção de sabor antes da prova. É a objeção que mais trava a primeira compra.</t>
  </si>
  <si>
    <t xml:space="preserve">A referência que funciona no mercado é confiança, não privação — a Bacio comunica a linha zero como 'zero dúvida'. No Beco a frase já existe: não vendemos renúncia, vendemos equilíbrio.</t>
  </si>
  <si>
    <t xml:space="preserve">A gente assume 'zero' como território de marca ou deixa isso como consequência e vende só prazer?</t>
  </si>
  <si>
    <t xml:space="preserve">Por que o pote é individual</t>
  </si>
  <si>
    <t xml:space="preserve">Transformar a porção em decisão de produto, e não em economia. Pote individual é o que cria o consumo em casa.</t>
  </si>
  <si>
    <t xml:space="preserve">A porção foi escolhida, não cortada. Dá para dizer isso com honestidade porque é verdade.</t>
  </si>
  <si>
    <t xml:space="preserve">Os dois</t>
  </si>
  <si>
    <t xml:space="preserve">O pote individual é argumento de consumidor ou é argumento de balcão para o parceiro? Dá para ser os dois sem confundir?</t>
  </si>
  <si>
    <t xml:space="preserve">O que é a linha Boost — e por que proteína não abre a conversa</t>
  </si>
  <si>
    <t xml:space="preserve">Segmentar sem reduzir a marca a um atributo. Proteína é linha, não é a marca.</t>
  </si>
  <si>
    <t xml:space="preserve">Boost aparece quando o assunto é Boost. Nunca como manchete da marca.</t>
  </si>
  <si>
    <t xml:space="preserve">A Boost merece linguagem própria, quase submarca, ou tem que falar igual ao resto?</t>
  </si>
  <si>
    <t xml:space="preserve">Zero lactose não é sem leite</t>
  </si>
  <si>
    <t xml:space="preserve">Honestidade que gera confiança e corta pela raiz a pergunta que mais chega na DM.</t>
  </si>
  <si>
    <t xml:space="preserve">Responder o que o produto não serve é o que faz acreditarem no que ele serve.</t>
  </si>
  <si>
    <t xml:space="preserve">Esse tema vira conteúdo de feed ou vira FAQ fixo em destaque? Conteúdo de restrição cansa rápido.</t>
  </si>
  <si>
    <t xml:space="preserve">A matéria-prima tem nome</t>
  </si>
  <si>
    <t xml:space="preserve">Provar o premium pelo insumo, que é o único jeito de justificar preço sem falar de preço.</t>
  </si>
  <si>
    <t xml:space="preserve">Pasta de pistache, fruta, o mix que o Gabriel formulou. Nome do ingrediente, não 'ingredientes selecionados'.</t>
  </si>
  <si>
    <t xml:space="preserve">Até onde expor fornecedor e marca de insumo sem entregar receita para concorrente?</t>
  </si>
  <si>
    <t xml:space="preserve">O teste que não passou</t>
  </si>
  <si>
    <t xml:space="preserve">Construir autoridade por transparência. É o oposto do marketing de lançamento, e é o que marca grande não pode fazer.</t>
  </si>
  <si>
    <t xml:space="preserve">Nem todo teste vira produto, mas todo feedback constrói o próximo. O erro vem antes do acerto na narrativa.</t>
  </si>
  <si>
    <t xml:space="preserve">Com que frequência isso funciona antes de passar a impressão de produto inacabado?</t>
  </si>
  <si>
    <t xml:space="preserve">Quem faz tem rosto</t>
  </si>
  <si>
    <t xml:space="preserve">Dar à marca o ativo que a marca nacional não tem: um dono que aparece, decide e assume.</t>
  </si>
  <si>
    <t xml:space="preserve">O Gabriel sai da cozinha em outubro — esse próprio movimento é conteúdo, e tem data.</t>
  </si>
  <si>
    <t xml:space="preserve">Quanto da marca fica dependente do rosto do Gabriel? Isso ajuda agora e atrapalha quando escalar?</t>
  </si>
  <si>
    <t xml:space="preserve">Por que um sabor demora</t>
  </si>
  <si>
    <t xml:space="preserve">Transformar atraso em régua de qualidade, em vez de deixar virar silêncio.</t>
  </si>
  <si>
    <t xml:space="preserve">O Pistache não sai enquanto não estiver no ponto. Dizer isso vale mais que lançar correndo.</t>
  </si>
  <si>
    <t xml:space="preserve">Falar de sabor que ainda não existe cria desejo ou cria frustração?</t>
  </si>
  <si>
    <t xml:space="preserve">O pote por dentro</t>
  </si>
  <si>
    <t xml:space="preserve">Deslocar a percepção de artesanal amador para produto acabado: lacre, identificação de sabor, validade.</t>
  </si>
  <si>
    <t xml:space="preserve">Embalagem como prova de operação séria, que é exatamente o que o dono de um ponto parceiro repara.</t>
  </si>
  <si>
    <t xml:space="preserve">Esse tema é de marca ou é de ponto de venda? Pode ser a ponte natural entre os dois públicos.</t>
  </si>
  <si>
    <t xml:space="preserve">A sobremesa de depois do almoço</t>
  </si>
  <si>
    <t xml:space="preserve">Ocupar a ocasião doméstica mais frequente que existe, que é a que gera recompra semanal.</t>
  </si>
  <si>
    <t xml:space="preserve">Brigadeiro de colher, aquele de domingo — memória afetiva brasileira, não referência italiana.</t>
  </si>
  <si>
    <t xml:space="preserve">Qual ocasião a gente ataca primeiro? Tentar todas ao mesmo tempo não constrói hábito nenhum.</t>
  </si>
  <si>
    <t xml:space="preserve">Pós-treino</t>
  </si>
  <si>
    <t xml:space="preserve">Disputar um momento que hoje é de barrinha e shake, com um produto que dá prazer.</t>
  </si>
  <si>
    <t xml:space="preserve">É a ocasião que a Boost resolve — e a que conecta com academia e estúdio, que são canal.</t>
  </si>
  <si>
    <t xml:space="preserve">Essa ocasião puxa a marca para o território fitness? A gente quer isso?</t>
  </si>
  <si>
    <t xml:space="preserve">Receber em casa</t>
  </si>
  <si>
    <t xml:space="preserve">Entrar na ocasião de maior ticket e maior prova social: a sobremesa que se serve para visita.</t>
  </si>
  <si>
    <t xml:space="preserve">Seis potes, seis sabores, cada um escolhe o seu. O formato individual resolve o que o pote família não resolve.</t>
  </si>
  <si>
    <t xml:space="preserve">Dá para construir um combo ou kit para essa ocasião antes do verão?</t>
  </si>
  <si>
    <t xml:space="preserve">O fim de semana no litoral</t>
  </si>
  <si>
    <t xml:space="preserve">Casar a marca com o ritual de quem passa o fim de semana fora — que é o público e a geografia do Beco.</t>
  </si>
  <si>
    <t xml:space="preserve">Casa de praia, condomínio, o freezer que já tem Beco dentro. A ocasião explica a compra em quantidade.</t>
  </si>
  <si>
    <t xml:space="preserve">Essa é a ocasião do trimestre, com dezembro chegando? Vale concentrar esforço aqui?</t>
  </si>
  <si>
    <t xml:space="preserve">O lanche da tarde de quem trabalha em casa</t>
  </si>
  <si>
    <t xml:space="preserve">Ocupar um momento de baixa concorrência e alta frequência, com ticket pequeno e recorrente.</t>
  </si>
  <si>
    <t xml:space="preserve">Quebra de rotina sem sair de casa — conversa com a entrega e com o iFood.</t>
  </si>
  <si>
    <t xml:space="preserve">Essa ocasião justifica investir na entrega direta ou é conteúdo para quando o iFood estiver no ar?</t>
  </si>
  <si>
    <t xml:space="preserve">Bahia com nome de bairro</t>
  </si>
  <si>
    <t xml:space="preserve">Construir pertencimento sem clichê turístico. Lugar nomeado é o que diferencia marca regional de marca genérica.</t>
  </si>
  <si>
    <t xml:space="preserve">Vilas, Busca Vida, Guarajuba, Itacimirim, Praia do Forte, Rio Vermelho. Nome, não paisagem.</t>
  </si>
  <si>
    <t xml:space="preserve">Falar de bairro onde ainda não tem ponto cria demanda ou cria frustração?</t>
  </si>
  <si>
    <t xml:space="preserve">Quem já come</t>
  </si>
  <si>
    <t xml:space="preserve">Prova social real, sem produção publicitária. Cliente de verdade vale mais que foto de banco de imagem.</t>
  </si>
  <si>
    <t xml:space="preserve">Pessoas reais da região, com o pote como ele chega — sem styling que a entrega não reproduz.</t>
  </si>
  <si>
    <t xml:space="preserve">Vale estruturar um programa de recompensa para quem posta, ou isso tira a espontaneidade?</t>
  </si>
  <si>
    <t xml:space="preserve">O verão daqui começa antes</t>
  </si>
  <si>
    <t xml:space="preserve">Usar a sazonalidade a favor: no litoral baiano a temporada começa em outubro, não em dezembro.</t>
  </si>
  <si>
    <t xml:space="preserve">Enquanto a categoria inteira acorda em dezembro, a marca já está na praia em outubro.</t>
  </si>
  <si>
    <t xml:space="preserve">Isso vira campanha de verão com nome próprio? Marcas de gelato fazem isso todo ano.</t>
  </si>
  <si>
    <t xml:space="preserve">A marca tem opinião sobre comida</t>
  </si>
  <si>
    <t xml:space="preserve">Ocupar um lugar editorial além do produto: o que a marca pensa sobre açúcar, indústria e prazer.</t>
  </si>
  <si>
    <t xml:space="preserve">O Gabriel tem repertório para isso e nenhuma marca local está nesse espaço.</t>
  </si>
  <si>
    <t xml:space="preserve">A marca quer esse papel? Opinião atrai público e também cria atrito.</t>
  </si>
  <si>
    <t xml:space="preserve">Onde achar hoje</t>
  </si>
  <si>
    <t xml:space="preserve">Converter intenção em visita. É o conteúdo mais procurado e o mais mal resolvido em marca nova.</t>
  </si>
  <si>
    <t xml:space="preserve">Mapa vivo dos pontos, atualizado a cada freezer novo.</t>
  </si>
  <si>
    <t xml:space="preserve">Onde esse mapa mora de verdade: destaque, link na bio, site? Hoje não existe lugar fixo.</t>
  </si>
  <si>
    <t xml:space="preserve">Chegou em um lugar novo</t>
  </si>
  <si>
    <t xml:space="preserve">Sinalizar crescimento. O consumidor lê proximidade; o dono de ponto lê rede se formando.</t>
  </si>
  <si>
    <t xml:space="preserve">A peça de dupla leitura mais natural que a marca tem — e a que mais se repete no trimestre.</t>
  </si>
  <si>
    <t xml:space="preserve">Cada novo ponto vira post, ou isso satura? Qual o critério?</t>
  </si>
  <si>
    <t xml:space="preserve">Agora dá para receber em casa</t>
  </si>
  <si>
    <t xml:space="preserve">Ativar entrega e iFood como ocasião, não como aviso operacional.</t>
  </si>
  <si>
    <t xml:space="preserve">A entrega é o que transforma ocasião doméstica em compra — amarra direto no eixo Ocasião.</t>
  </si>
  <si>
    <t xml:space="preserve">A abertura do iFood merece campanha ou é só um aviso? Tem data confirmada?</t>
  </si>
  <si>
    <t xml:space="preserve">A Boost é sobremesa, não suplemento</t>
  </si>
  <si>
    <t xml:space="preserve">Tirar a linha proteica do território onde ela compete com whey e barrinha, e colocá-la onde ela ganha: sobremesa.</t>
  </si>
  <si>
    <t xml:space="preserve">O caminho da Dr. Peanut, que saiu do nicho funcional pelo sabor. O Brigadeiro Proteico já é brigadeiro de colher antes de ser proteína — o nome do sabor faz metade do trabalho sozinho.</t>
  </si>
  <si>
    <t xml:space="preserve">A palavra 'proteico' precisa estar no nome do sabor? Ela ajuda a vender ou entrega a linha ao território fitness?</t>
  </si>
  <si>
    <t xml:space="preserve">Variedade é motivo de voltar</t>
  </si>
  <si>
    <t xml:space="preserve">Criar recompra por novidade, e não só por hábito. Seis sabores fixos cansam antes do fim do trimestre.</t>
  </si>
  <si>
    <t xml:space="preserve">Na Dr. Peanut a variedade é o que estimula experimentação e recompra. Uma edição curta, anunciada como edição e com data para sair, dá motivo de volta ao consumidor e motivo de reposição ao parceiro.</t>
  </si>
  <si>
    <t xml:space="preserve">A produção aguenta um sétimo sabor rotativo? Se não, dá para criar rotação dentro dos seis?</t>
  </si>
  <si>
    <t xml:space="preserve">Origem com endereço</t>
  </si>
  <si>
    <t xml:space="preserve">Ancorar o premium em procedência que dá para verificar, em vez de adjetivo que todo concorrente também escreve.</t>
  </si>
  <si>
    <t xml:space="preserve">A Amma diz cacau do sul da Bahia, feito em Salvador. O Beco tem endereço — Lauro de Freitas — e insumos com origem. Endereço é fato; 'artesanal' é adjetivo.</t>
  </si>
  <si>
    <t xml:space="preserve">Quais insumos têm origem que a gente pode nomear sem expor fornecedor ou entregar receita?</t>
  </si>
  <si>
    <t xml:space="preserve">Brasilidade por arte, não por folclore</t>
  </si>
  <si>
    <t xml:space="preserve">Resolver na prática o 'sem clichê turístico', que até agora é uma proibição sem alternativa.</t>
  </si>
  <si>
    <t xml:space="preserve">A Amma constrói brasilidade com casa modernista e artistas contemporâneos, não com coqueiro e bandeirinha. A versão baiana disso existe, é acessível e ninguém no segmento está usando.</t>
  </si>
  <si>
    <t xml:space="preserve">Vale convidar um artista local para uma edição de rótulo ou de lacre?</t>
  </si>
  <si>
    <t xml:space="preserve">A degustação é um ritual, não uma amostra</t>
  </si>
  <si>
    <t xml:space="preserve">Transformar a prova no balcão do parceiro no ativo que ele não consegue montar sozinho — e aumentar a conversão.</t>
  </si>
  <si>
    <t xml:space="preserve">A Amma ensina a provar: ordem, o que reparar, alguém conduzindo. O Beco pode ter um roteiro de degustação dos seis sabores, do sorbet ao proteico, que funcione com ou sem o Gabriel presente.</t>
  </si>
  <si>
    <t xml:space="preserve">Quem conduz a degustação quando o Gabriel não puder ir? Isso vira roteiro escrito ou depende dele?</t>
  </si>
  <si>
    <t xml:space="preserve">O trimestre em doze semanas</t>
  </si>
  <si>
    <t xml:space="preserve">Cada semana tem um foco e os temas que o sustentam. Quantidade de peças e formato são decisão do time.</t>
  </si>
  <si>
    <t xml:space="preserve">Semana</t>
  </si>
  <si>
    <t xml:space="preserve">Período</t>
  </si>
  <si>
    <t xml:space="preserve">Foco da semana</t>
  </si>
  <si>
    <t xml:space="preserve">Temas da semana</t>
  </si>
  <si>
    <t xml:space="preserve">O que decidir antes</t>
  </si>
  <si>
    <t xml:space="preserve">15 a 19 de outubro</t>
  </si>
  <si>
    <t xml:space="preserve">Abrir a régua da categoria</t>
  </si>
  <si>
    <t xml:space="preserve">• E1 Gelato não é sorvete
• E1 Sem adição de açúcar não é dieta
• E3 A sobremesa de depois do almoço</t>
  </si>
  <si>
    <t xml:space="preserve">Quanta técnica entra em peça de categoria.</t>
  </si>
  <si>
    <t xml:space="preserve">20 a 26 de outubro</t>
  </si>
  <si>
    <t xml:space="preserve">Produto e quem faz</t>
  </si>
  <si>
    <t xml:space="preserve">• E2 A matéria-prima tem nome
• E2 Quem faz tem rosto
• E3 Pós-treino
• E5 Onde achar hoje</t>
  </si>
  <si>
    <t xml:space="preserve">Divisão entre perfil do Gabriel e perfil da marca.</t>
  </si>
  <si>
    <t xml:space="preserve">27 de outubro a 2 de novembro</t>
  </si>
  <si>
    <t xml:space="preserve">A marca chega perto</t>
  </si>
  <si>
    <t xml:space="preserve">• E5 Chegou em um lugar novo
• E4 Bahia com nome de bairro
• E3 A sobremesa de depois do almoço
• E1 Por que o pote é individual</t>
  </si>
  <si>
    <t xml:space="preserve">Critério para transformar freezer novo em post.</t>
  </si>
  <si>
    <t xml:space="preserve">3 a 9 de novembro</t>
  </si>
  <si>
    <t xml:space="preserve">Ocasião doméstica</t>
  </si>
  <si>
    <t xml:space="preserve">• E3 Receber em casa
• E3 O lanche da tarde de quem trabalha em casa
• E2 O teste que não passou
• E4 Quem já come</t>
  </si>
  <si>
    <t xml:space="preserve">Se existe combo ou kit para a ocasião de receber.</t>
  </si>
  <si>
    <t xml:space="preserve">10 a 16 de novembro</t>
  </si>
  <si>
    <t xml:space="preserve">Confiança e dúvida</t>
  </si>
  <si>
    <t xml:space="preserve">• E1 Zero lactose não é sem leite
• E1 O que é a linha Boost
• E2 O pote por dentro
• E5 Onde achar hoje</t>
  </si>
  <si>
    <t xml:space="preserve">Se restrição vira feed ou vira FAQ fixo.</t>
  </si>
  <si>
    <t xml:space="preserve">17 a 23 de novembro</t>
  </si>
  <si>
    <t xml:space="preserve">Prova social</t>
  </si>
  <si>
    <t xml:space="preserve">• E4 Quem já come
• E5 Chegou em um lugar novo
• E3 Pós-treino
• E2 Por que um sabor demora</t>
  </si>
  <si>
    <t xml:space="preserve">Se haverá programa de incentivo a quem posta.</t>
  </si>
  <si>
    <t xml:space="preserve">24 a 30 de novembro</t>
  </si>
  <si>
    <t xml:space="preserve">O verão começa</t>
  </si>
  <si>
    <t xml:space="preserve">• E4 O verão daqui começa antes
• E3 O fim de semana no litoral
• E1 Gelato não é sorvete
• E5 Agora dá para receber em casa</t>
  </si>
  <si>
    <t xml:space="preserve">Se a campanha de verão existe e com que nome.</t>
  </si>
  <si>
    <t xml:space="preserve">1 a 7 de dezembro</t>
  </si>
  <si>
    <t xml:space="preserve">Litoral e temporada</t>
  </si>
  <si>
    <t xml:space="preserve">• E3 O fim de semana no litoral
• E4 Bahia com nome de bairro
• E2 A matéria-prima tem nome
• E5 Chegou em um lugar novo</t>
  </si>
  <si>
    <t xml:space="preserve">Quais praias concentram esforço na temporada.</t>
  </si>
  <si>
    <t xml:space="preserve">8 a 14 de dezembro</t>
  </si>
  <si>
    <t xml:space="preserve">Receber e presentear</t>
  </si>
  <si>
    <t xml:space="preserve">• E3 Receber em casa
• E1 Por que o pote é individual
• E4 Quem já come
• E5 Onde achar hoje</t>
  </si>
  <si>
    <t xml:space="preserve">Se entra alguma ação de fim de ano.</t>
  </si>
  <si>
    <t xml:space="preserve">15 a 21 de dezembro</t>
  </si>
  <si>
    <t xml:space="preserve">Pico de temporada</t>
  </si>
  <si>
    <t xml:space="preserve">• E3 O fim de semana no litoral
• E5 Agora dá para receber em casa
• E4 O verão daqui começa antes
• E3 Receber em casa</t>
  </si>
  <si>
    <t xml:space="preserve">Capacidade de produção para sustentar o pico.</t>
  </si>
  <si>
    <t xml:space="preserve">22 a 28 de dezembro</t>
  </si>
  <si>
    <t xml:space="preserve">Marca em alta frequência</t>
  </si>
  <si>
    <t xml:space="preserve">• E4 Quem já come
• E3 A sobremesa de depois do almoço
• E5 Chegou em um lugar novo
• E1 Sem adição de açúcar não é dieta</t>
  </si>
  <si>
    <t xml:space="preserve">Operação entre feriados: o que dá para publicar sem equipe.</t>
  </si>
  <si>
    <t xml:space="preserve">29 a 31 de dezembro</t>
  </si>
  <si>
    <t xml:space="preserve">Fechar e abrir o ano</t>
  </si>
  <si>
    <t xml:space="preserve">• E2 Quem faz tem rosto
• E4 A marca tem opinião sobre comida
• E5 Onde achar hoje</t>
  </si>
  <si>
    <t xml:space="preserve">O balanço do trimestre: o que foi medido e o que entra em janeiro.</t>
  </si>
  <si>
    <t xml:space="preserve">Camada B2B — o que dizer, e onde</t>
  </si>
  <si>
    <t xml:space="preserve">Recomendação: o B2B sai do feed do consumidor e vive em canal próprio. No feed fica só a peça de dupla leitura.</t>
  </si>
  <si>
    <t xml:space="preserve">Frente</t>
  </si>
  <si>
    <t xml:space="preserve">Intenção</t>
  </si>
  <si>
    <t xml:space="preserve">Argumento central</t>
  </si>
  <si>
    <t xml:space="preserve">Onde vive</t>
  </si>
  <si>
    <t xml:space="preserve">Categoria nova no balcão</t>
  </si>
  <si>
    <t xml:space="preserve">Fazer o dono enxergar uma receita que ele não tem hoje, em vez de mais um fornecedor.</t>
  </si>
  <si>
    <t xml:space="preserve">Um metro quadrado vira uma categoria que o ponto não oferece, com produto pronto para levar. A conversa é sobre o cliente dele comprar mais vezes, não sobre a sua margem.</t>
  </si>
  <si>
    <t xml:space="preserve">Proposta, visita e LinkedIn do Gabriel</t>
  </si>
  <si>
    <t xml:space="preserve">É assim que a Oakberry entra em supermercado: o argumento declarado é aumentar consumo e frequência, não margem.</t>
  </si>
  <si>
    <t xml:space="preserve">Risco zero e operação</t>
  </si>
  <si>
    <t xml:space="preserve">Responder antes de ser perguntado à objeção silenciosa: vai me dar trabalho e vai me custar caro?</t>
  </si>
  <si>
    <t xml:space="preserve">Freezer em comodato, produto lacrado, reposição na rota do bairro e 90 dias de validação sem multa. A exclusividade do freezer é dita de frente, não descoberta depois.</t>
  </si>
  <si>
    <t xml:space="preserve">Proposta e visita</t>
  </si>
  <si>
    <t xml:space="preserve">Prova de demanda</t>
  </si>
  <si>
    <t xml:space="preserve">Transferir a prova do discurso para o fato: existe gente procurando o produto na região dele.</t>
  </si>
  <si>
    <t xml:space="preserve">Mensagens espontâneas perguntando onde achar e como virar ponto, freezer esvaziando, reposição aumentando. Vale mais que qualquer projeção — e já existe hoje.</t>
  </si>
  <si>
    <t xml:space="preserve">Feed (leitura dupla) e proposta</t>
  </si>
  <si>
    <t xml:space="preserve">Giro medido</t>
  </si>
  <si>
    <t xml:space="preserve">Substituir a referência de proposta por número real, que é a única base que não vira promessa.</t>
  </si>
  <si>
    <t xml:space="preserve">Quando houver 2 ou 3 pontos medidos por 60 dias, o giro real vira o argumento mais forte da marca. Até lá, nenhum número de giro em canal aberto.</t>
  </si>
  <si>
    <t xml:space="preserve">Proposta, depois de dezembro</t>
  </si>
  <si>
    <t xml:space="preserve">A marca valoriza o ambiente</t>
  </si>
  <si>
    <t xml:space="preserve">Fazer o ponto querer o freezer pela loja dele, não só pelo caixa.</t>
  </si>
  <si>
    <t xml:space="preserve">Freezer plotado, identidade consistente, material de balcão. O parceiro entra numa marca, não recebe um equipamento.</t>
  </si>
  <si>
    <t xml:space="preserve">Feed (leitura dupla) e visita</t>
  </si>
  <si>
    <t xml:space="preserve">É o que a Oakberry chama de cultura em torno do produto: o ponto compra o estilo, não só o insumo.</t>
  </si>
  <si>
    <t xml:space="preserve">A degustação conduzida</t>
  </si>
  <si>
    <t xml:space="preserve">Dar ao parceiro uma experiência que ele não monta sozinho, e usar a prova como fechamento de venda.</t>
  </si>
  <si>
    <t xml:space="preserve">Roteiro dos seis sabores com ordem e com o que reparar em cada um, conduzido por alguém da marca. Na proposta a degustação já é o primeiro passo — falta transformá-la em método em vez de deixar como amostra.</t>
  </si>
  <si>
    <t xml:space="preserve">Visita e ativação</t>
  </si>
  <si>
    <t xml:space="preserve">A Amma ensina a provar: mesa, sementes à vista e alguém explicando. É o que separa prova de amostra grátis.</t>
  </si>
  <si>
    <t xml:space="preserve">A peça de dupla leitura</t>
  </si>
  <si>
    <t xml:space="preserve">O único lugar onde as duas conversas se encontram no feed. O consumidor lê proximidade; o dono lê rede se formando.</t>
  </si>
  <si>
    <t xml:space="preserve">O consumidor pensa</t>
  </si>
  <si>
    <t xml:space="preserve">O dono do ponto pensa</t>
  </si>
  <si>
    <t xml:space="preserve">A marca chegou em um lugar novo</t>
  </si>
  <si>
    <t xml:space="preserve">Quero um perto de mim.</t>
  </si>
  <si>
    <t xml:space="preserve">Quero ser um desses lugares.</t>
  </si>
  <si>
    <t xml:space="preserve">Degustação no balcão de um parceiro</t>
  </si>
  <si>
    <t xml:space="preserve">Quero provar os seis.</t>
  </si>
  <si>
    <t xml:space="preserve">Eles vão até mim, sem compromisso.</t>
  </si>
  <si>
    <t xml:space="preserve">Gente perguntando onde acha</t>
  </si>
  <si>
    <t xml:space="preserve">Não sou só eu que quero.</t>
  </si>
  <si>
    <t xml:space="preserve">Existe demanda no meu bairro.</t>
  </si>
  <si>
    <t xml:space="preserve">A voz em cinco regras</t>
  </si>
  <si>
    <t xml:space="preserve">Regra</t>
  </si>
  <si>
    <t xml:space="preserve">O que significa na prática</t>
  </si>
  <si>
    <t xml:space="preserve">Prazer abre, atributo fecha</t>
  </si>
  <si>
    <t xml:space="preserve">O sensorial vem primeiro em toda peça. Selo, proteína e 'sem açúcar' entram no fim, como consequência.</t>
  </si>
  <si>
    <t xml:space="preserve">Quem fala é o Gabriel</t>
  </si>
  <si>
    <t xml:space="preserve">Primeira pessoa, decisão assumida, erro admitido. A marca tem dono e isso é vantagem competitiva, não informalidade.</t>
  </si>
  <si>
    <t xml:space="preserve">Específico vence superlativo</t>
  </si>
  <si>
    <t xml:space="preserve">Nome de ingrediente, número real, lugar com nome. Adjetivo grande é o que todo concorrente também escreve.</t>
  </si>
  <si>
    <t xml:space="preserve">Lugar com nome</t>
  </si>
  <si>
    <t xml:space="preserve">Bairro, praia, rua. Nunca 'paraíso tropical'.</t>
  </si>
  <si>
    <t xml:space="preserve">Teste é teste</t>
  </si>
  <si>
    <t xml:space="preserve">Experimento e lançamento têm palavras diferentes. Misturar os dois queima o lançamento seguinte.</t>
  </si>
  <si>
    <t xml:space="preserve">O que nunca entra</t>
  </si>
  <si>
    <t xml:space="preserve">Nunca</t>
  </si>
  <si>
    <t xml:space="preserve">Por quê</t>
  </si>
  <si>
    <t xml:space="preserve">'Zero açúcar' como frase</t>
  </si>
  <si>
    <t xml:space="preserve">O selo é 'sem adição de açúcares' e é tolerância zero. No Sorbet Morango está em aberto enquanto a Pasta Fragola estiver na fórmula.</t>
  </si>
  <si>
    <t xml:space="preserve">'Sem lactose' como atributo da marca</t>
  </si>
  <si>
    <t xml:space="preserve">Vale para Fresh e Special. A Boost contém lactose.</t>
  </si>
  <si>
    <t xml:space="preserve">'Sem glúten'</t>
  </si>
  <si>
    <t xml:space="preserve">Não é atributo controlado da linha. Não afirmar, nem como gancho.</t>
  </si>
  <si>
    <t xml:space="preserve">Proteína abrindo a conversa da marca</t>
  </si>
  <si>
    <t xml:space="preserve">Boost é linha, não é o eixo.</t>
  </si>
  <si>
    <t xml:space="preserve">Número de proteína que a ficha não fecha</t>
  </si>
  <si>
    <t xml:space="preserve">A Boost promete 12 g; o Brigadeiro fecha 10,47 g sem a mescla.</t>
  </si>
  <si>
    <t xml:space="preserve">Pote em mockup, recolorizado ou redesenhado</t>
  </si>
  <si>
    <t xml:space="preserve">O pote da peça é o pote que chega na mão.</t>
  </si>
  <si>
    <t xml:space="preserve">Pote de 150 ml em degustação de evento</t>
  </si>
  <si>
    <t xml:space="preserve">Em ativação serve o copinho de até 60 g.</t>
  </si>
  <si>
    <t xml:space="preserve">Cachorro em campanha</t>
  </si>
  <si>
    <t xml:space="preserve">Decisão do Gabriel.</t>
  </si>
  <si>
    <t xml:space="preserve">'Procuramos revendedores' em qualquer canal</t>
  </si>
  <si>
    <t xml:space="preserve">Inverte a posição: quem procura aceita qualquer um.</t>
  </si>
  <si>
    <t xml:space="preserve">Giro não medido em canal aberto</t>
  </si>
  <si>
    <t xml:space="preserve">300 potes/mês é referência de proposta. Publicado, vira promessa.</t>
  </si>
  <si>
    <t xml:space="preserve">Tabela de atacado em canal aberto</t>
  </si>
  <si>
    <t xml:space="preserve">É conversa de proposta, de um para um.</t>
  </si>
  <si>
    <t xml:space="preserve">Número de vagas da Turma Fundadora</t>
  </si>
  <si>
    <t xml:space="preserve">Enquanto houver dois números, nenhum vai a público.</t>
  </si>
  <si>
    <t xml:space="preserve">O que precisa ser decidido antes de produzir</t>
  </si>
  <si>
    <t xml:space="preserve">Oito decisões. As quatro últimas travam conteúdo: enquanto estiverem abertas, nada sobre elas vai a público.</t>
  </si>
  <si>
    <t xml:space="preserve">Decisão</t>
  </si>
  <si>
    <t xml:space="preserve">O ponto</t>
  </si>
  <si>
    <t xml:space="preserve">De quem é</t>
  </si>
  <si>
    <t xml:space="preserve">Resolvido?</t>
  </si>
  <si>
    <t xml:space="preserve">Canal do B2B</t>
  </si>
  <si>
    <t xml:space="preserve">Minha recomendação mudou depois de olhar as referências: o B2B sai do feed e vai para canal próprio — LinkedIn do Gabriel, um destaque fixo de parceiros, a proposta em PDF e a visita. No feed fica só a peça de dupla leitura.</t>
  </si>
  <si>
    <t xml:space="preserve">Gabriel + time</t>
  </si>
  <si>
    <t xml:space="preserve">Perfil pessoal x perfil da marca</t>
  </si>
  <si>
    <t xml:space="preserve">Processo, opinião e bastidor rendem muito mais no perfil do Gabriel. Produto, ocasião e lugar são da marca. Sem essa divisão os dois perfis dizem a mesma coisa.</t>
  </si>
  <si>
    <t xml:space="preserve">Gabriel</t>
  </si>
  <si>
    <t xml:space="preserve">Qual ocasião atacar primeiro</t>
  </si>
  <si>
    <t xml:space="preserve">Ocasião é o eixo de maior peso e tem cinco temas. Perseguir os cinco ao mesmo tempo não constrói hábito nenhum.</t>
  </si>
  <si>
    <t xml:space="preserve">Time</t>
  </si>
  <si>
    <t xml:space="preserve">Campanha de verão com nome próprio</t>
  </si>
  <si>
    <t xml:space="preserve">O verão no litoral baiano começa em outubro. Se for para existir campanha, ela precisa de nome e começa agora.</t>
  </si>
  <si>
    <t xml:space="preserve">Frequência real</t>
  </si>
  <si>
    <t xml:space="preserve">Qual volume semanal a agência sustenta com qualidade. Melhor menos peça com direção clara que grade cheia de post genérico.</t>
  </si>
  <si>
    <t xml:space="preserve">Turma Fundadora: dez ou cinco</t>
  </si>
  <si>
    <t xml:space="preserve">A proposta de Ponto Parceiro diz dez primeiros; a decisão de piloto fala em cinco. Enquanto existirem dois números, nenhum pode aparecer em canal aberto.</t>
  </si>
  <si>
    <t xml:space="preserve">Sabor vegano</t>
  </si>
  <si>
    <t xml:space="preserve">A proposta descreve os sorbets como base água; o registro de formulação parte de mix com base leite. Até confirmar, a resposta pública é que nenhum sabor é vendido como vegano.</t>
  </si>
  <si>
    <t xml:space="preserve">Recomendação: não. Preço de atacado é conversa de proposta. Exposto, vira régua de desconto e constrange quem já fechou.</t>
  </si>
  <si>
    <t xml:space="preserve">'Proteico' no nome do sabor</t>
  </si>
  <si>
    <t xml:space="preserve">Decisão de nomenclatura, não de receita: manter Café Proteico e Brigadeiro Proteico entrega a linha ao território fitness logo no nome. A Dr. Peanut cresceu fazendo o contrário — nome de sobremesa, atributo depois.</t>
  </si>
  <si>
    <t xml:space="preserve">Zero lactose: atributo de linha ou de marca</t>
  </si>
  <si>
    <t xml:space="preserve">Hoje Fresh e Special são zero lactose e a Boost não, e por isso a marca nunca pode usar o atributo sem explicar. A Dr. Peanut resolveu transformando a linha inteira em vez de criar sublinha. Aqui isso seria decisão de formulação, que é sua — o que está em jogo agora é só saber se a marca quer esse atributo como território.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</si>
</sst>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661F"/>
      <name val="Arial"/>
      <family val="0"/>
      <charset val="1"/>
    </font>
    <font>
      <sz val="10"/>
      <color rgb="FF565B52"/>
      <name val="Arial"/>
      <family val="0"/>
      <charset val="1"/>
    </font>
    <font>
      <b val="true"/>
      <sz val="13"/>
      <color rgb="FF44661F"/>
      <name val="Arial"/>
      <family val="0"/>
      <charset val="1"/>
    </font>
    <font>
      <sz val="10"/>
      <color rgb="FF1A1C19"/>
      <name val="Arial"/>
      <family val="0"/>
      <charset val="1"/>
    </font>
    <font>
      <b val="true"/>
      <sz val="12"/>
      <color rgb="FF44661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661F"/>
        <bgColor rgb="FF565B52"/>
      </patternFill>
    </fill>
    <fill>
      <patternFill patternType="solid">
        <fgColor rgb="FFEFF3E6"/>
        <bgColor rgb="FFFBF1E1"/>
      </patternFill>
    </fill>
    <fill>
      <patternFill patternType="solid">
        <fgColor rgb="FFFBF1E1"/>
        <bgColor rgb="FFFAEAE7"/>
      </patternFill>
    </fill>
    <fill>
      <patternFill patternType="solid">
        <fgColor rgb="FFFAEAE7"/>
        <bgColor rgb="FFFBF1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9CE"/>
      </left>
      <right style="thin">
        <color rgb="FFD6D9CE"/>
      </right>
      <top style="thin">
        <color rgb="FFD6D9CE"/>
      </top>
      <bottom style="thin">
        <color rgb="FFD6D9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661F"/>
          <bgColor rgb="FF000000"/>
        </patternFill>
      </fill>
    </dxf>
    <dxf>
      <fill>
        <patternFill patternType="solid">
          <fgColor rgb="FFEFF3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C1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4661F"/>
      <rgbColor rgb="FF800080"/>
      <rgbColor rgb="FF008080"/>
      <rgbColor rgb="FFC0C0C0"/>
      <rgbColor rgb="FF808080"/>
      <rgbColor rgb="FF9999FF"/>
      <rgbColor rgb="FF993366"/>
      <rgbColor rgb="FFFBF1E1"/>
      <rgbColor rgb="FFEFF3E6"/>
      <rgbColor rgb="FF660066"/>
      <rgbColor rgb="FFFF8080"/>
      <rgbColor rgb="FF0066CC"/>
      <rgbColor rgb="FFD6D9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A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B52"/>
      <rgbColor rgb="FF969696"/>
      <rgbColor rgb="FF003366"/>
      <rgbColor rgb="FF339966"/>
      <rgbColor rgb="FF003300"/>
      <rgbColor rgb="FF1A1C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8" customFormat="false" ht="15" hidden="false" customHeight="false" outlineLevel="0" collapsed="false">
      <c r="A8" s="5" t="s">
        <v>4</v>
      </c>
    </row>
    <row r="9" customFormat="false" ht="27.75" hidden="false" customHeight="true" outlineLevel="0" collapsed="false">
      <c r="A9" s="6" t="s">
        <v>5</v>
      </c>
      <c r="B9" s="6" t="s">
        <v>6</v>
      </c>
      <c r="C9" s="6" t="s">
        <v>7</v>
      </c>
    </row>
    <row r="10" customFormat="false" ht="57.75" hidden="false" customHeight="true" outlineLevel="0" collapsed="false">
      <c r="A10" s="7" t="s">
        <v>8</v>
      </c>
      <c r="B10" s="7" t="s">
        <v>9</v>
      </c>
      <c r="C10" s="7" t="s">
        <v>10</v>
      </c>
    </row>
    <row r="11" customFormat="false" ht="57.75" hidden="false" customHeight="true" outlineLevel="0" collapsed="false">
      <c r="A11" s="7" t="s">
        <v>11</v>
      </c>
      <c r="B11" s="7" t="s">
        <v>12</v>
      </c>
      <c r="C11" s="7" t="s">
        <v>13</v>
      </c>
    </row>
    <row r="12" customFormat="false" ht="57.75" hidden="false" customHeight="true" outlineLevel="0" collapsed="false">
      <c r="A12" s="7" t="s">
        <v>14</v>
      </c>
      <c r="B12" s="7" t="s">
        <v>15</v>
      </c>
      <c r="C12" s="7" t="s">
        <v>16</v>
      </c>
    </row>
    <row r="13" customFormat="false" ht="57.75" hidden="false" customHeight="true" outlineLevel="0" collapsed="false">
      <c r="A13" s="7" t="s">
        <v>17</v>
      </c>
      <c r="B13" s="7" t="s">
        <v>18</v>
      </c>
      <c r="C13" s="7" t="s">
        <v>19</v>
      </c>
    </row>
    <row r="14" customFormat="false" ht="57.75" hidden="false" customHeight="true" outlineLevel="0" collapsed="false">
      <c r="A14" s="7" t="s">
        <v>20</v>
      </c>
      <c r="B14" s="7" t="s">
        <v>21</v>
      </c>
      <c r="C14" s="7" t="s">
        <v>22</v>
      </c>
    </row>
    <row r="15" customFormat="false" ht="57.75" hidden="false" customHeight="true" outlineLevel="0" collapsed="false">
      <c r="A15" s="7" t="s">
        <v>23</v>
      </c>
      <c r="B15" s="7" t="s">
        <v>24</v>
      </c>
      <c r="C15" s="7" t="s">
        <v>25</v>
      </c>
    </row>
    <row r="16" customFormat="false" ht="57.75" hidden="false" customHeight="true" outlineLevel="0" collapsed="false">
      <c r="A16" s="7" t="s">
        <v>26</v>
      </c>
      <c r="B16" s="7" t="s">
        <v>27</v>
      </c>
      <c r="C16" s="7" t="s">
        <v>28</v>
      </c>
    </row>
    <row r="17" customFormat="false" ht="57.75" hidden="false" customHeight="true" outlineLevel="0" collapsed="false">
      <c r="A17" s="7" t="s">
        <v>29</v>
      </c>
      <c r="B17" s="7" t="s">
        <v>30</v>
      </c>
      <c r="C17" s="7" t="s">
        <v>31</v>
      </c>
    </row>
    <row r="18" customFormat="false" ht="57.75" hidden="false" customHeight="true" outlineLevel="0" collapsed="false">
      <c r="A18" s="7" t="s">
        <v>32</v>
      </c>
      <c r="B18" s="7" t="s">
        <v>33</v>
      </c>
      <c r="C18" s="7" t="s">
        <v>34</v>
      </c>
    </row>
    <row r="21" customFormat="false" ht="15" hidden="false" customHeight="false" outlineLevel="0" collapsed="false">
      <c r="A21" s="5" t="s">
        <v>35</v>
      </c>
    </row>
    <row r="22" customFormat="false" ht="27.75" hidden="false" customHeight="true" outlineLevel="0" collapsed="false">
      <c r="A22" s="6" t="s">
        <v>36</v>
      </c>
      <c r="B22" s="6" t="s">
        <v>37</v>
      </c>
      <c r="C22" s="6" t="s">
        <v>38</v>
      </c>
      <c r="D22" s="6" t="s">
        <v>39</v>
      </c>
    </row>
    <row r="23" customFormat="false" ht="42" hidden="false" customHeight="true" outlineLevel="0" collapsed="false">
      <c r="A23" s="8" t="s">
        <v>40</v>
      </c>
      <c r="B23" s="8" t="s">
        <v>41</v>
      </c>
      <c r="C23" s="7" t="s">
        <v>42</v>
      </c>
      <c r="D23" s="8" t="s">
        <v>43</v>
      </c>
    </row>
    <row r="24" customFormat="false" ht="42" hidden="false" customHeight="true" outlineLevel="0" collapsed="false">
      <c r="A24" s="8" t="s">
        <v>44</v>
      </c>
      <c r="B24" s="8" t="s">
        <v>45</v>
      </c>
      <c r="C24" s="7" t="s">
        <v>46</v>
      </c>
      <c r="D24" s="8" t="s">
        <v>43</v>
      </c>
    </row>
    <row r="25" customFormat="false" ht="42" hidden="false" customHeight="true" outlineLevel="0" collapsed="false">
      <c r="A25" s="8" t="s">
        <v>47</v>
      </c>
      <c r="B25" s="8" t="s">
        <v>48</v>
      </c>
      <c r="C25" s="7" t="s">
        <v>49</v>
      </c>
      <c r="D25" s="8" t="s">
        <v>50</v>
      </c>
    </row>
    <row r="26" customFormat="false" ht="42" hidden="false" customHeight="true" outlineLevel="0" collapsed="false">
      <c r="A26" s="8" t="s">
        <v>51</v>
      </c>
      <c r="B26" s="8" t="s">
        <v>52</v>
      </c>
      <c r="C26" s="7" t="s">
        <v>53</v>
      </c>
      <c r="D26" s="8" t="s">
        <v>43</v>
      </c>
    </row>
    <row r="27" customFormat="false" ht="42" hidden="false" customHeight="true" outlineLevel="0" collapsed="false">
      <c r="A27" s="8" t="s">
        <v>54</v>
      </c>
      <c r="B27" s="8" t="s">
        <v>55</v>
      </c>
      <c r="C27" s="7" t="s">
        <v>56</v>
      </c>
      <c r="D27" s="8" t="s">
        <v>57</v>
      </c>
    </row>
    <row r="30" customFormat="false" ht="15" hidden="false" customHeight="false" outlineLevel="0" collapsed="false">
      <c r="A30" s="5" t="s">
        <v>58</v>
      </c>
    </row>
    <row r="31" customFormat="false" ht="27.75" hidden="false" customHeight="true" outlineLevel="0" collapsed="false">
      <c r="A31" s="6" t="s">
        <v>59</v>
      </c>
      <c r="B31" s="6" t="s">
        <v>60</v>
      </c>
      <c r="C31" s="6" t="s">
        <v>61</v>
      </c>
    </row>
    <row r="32" customFormat="false" ht="15" hidden="false" customHeight="false" outlineLevel="0" collapsed="false">
      <c r="A32" s="8" t="s">
        <v>62</v>
      </c>
      <c r="B32" s="8" t="n">
        <f aca="false">COUNTIF(Temário!E:E,"B2C")</f>
        <v>14</v>
      </c>
      <c r="C32" s="9" t="n">
        <f aca="false">IFERROR(B32/$B$34,0)</f>
        <v>0.518518518518519</v>
      </c>
    </row>
    <row r="33" customFormat="false" ht="15" hidden="false" customHeight="false" outlineLevel="0" collapsed="false">
      <c r="A33" s="8" t="s">
        <v>63</v>
      </c>
      <c r="B33" s="8" t="n">
        <f aca="false">COUNTIF(Temário!E:E,"Os dois")</f>
        <v>13</v>
      </c>
      <c r="C33" s="9" t="n">
        <f aca="false">IFERROR(B33/$B$34,0)</f>
        <v>0.481481481481481</v>
      </c>
    </row>
    <row r="34" customFormat="false" ht="15" hidden="false" customHeight="false" outlineLevel="0" collapsed="false">
      <c r="A34" s="8" t="s">
        <v>64</v>
      </c>
      <c r="B34" s="8" t="n">
        <f aca="false">COUNTA(Temário!B:B)-1</f>
        <v>27</v>
      </c>
      <c r="C34" s="9"/>
    </row>
  </sheetData>
  <mergeCells count="2">
    <mergeCell ref="A4:F4"/>
    <mergeCell ref="A5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4" min="3" style="0" width="62"/>
    <col collapsed="false" customWidth="true" hidden="false" outlineLevel="0" max="5" min="5" style="0" width="12"/>
    <col collapsed="false" customWidth="true" hidden="false" outlineLevel="0" max="6" min="6" style="0" width="56"/>
    <col collapsed="false" customWidth="true" hidden="false" outlineLevel="0" max="7" min="7" style="0" width="13"/>
  </cols>
  <sheetData>
    <row r="1" customFormat="false" ht="27.75" hidden="false" customHeight="true" outlineLevel="0" collapsed="false">
      <c r="A1" s="6" t="s">
        <v>36</v>
      </c>
      <c r="B1" s="6" t="s">
        <v>65</v>
      </c>
      <c r="C1" s="6" t="s">
        <v>66</v>
      </c>
      <c r="D1" s="6" t="s">
        <v>67</v>
      </c>
      <c r="E1" s="6" t="s">
        <v>68</v>
      </c>
      <c r="F1" s="6" t="s">
        <v>69</v>
      </c>
      <c r="G1" s="6" t="s">
        <v>70</v>
      </c>
    </row>
    <row r="2" customFormat="false" ht="55.5" hidden="false" customHeight="true" outlineLevel="0" collapsed="false">
      <c r="A2" s="8" t="s">
        <v>40</v>
      </c>
      <c r="B2" s="7" t="s">
        <v>71</v>
      </c>
      <c r="C2" s="7" t="s">
        <v>72</v>
      </c>
      <c r="D2" s="7" t="s">
        <v>73</v>
      </c>
      <c r="E2" s="8" t="s">
        <v>74</v>
      </c>
      <c r="F2" s="7" t="s">
        <v>75</v>
      </c>
      <c r="G2" s="8"/>
    </row>
    <row r="3" customFormat="false" ht="55.5" hidden="false" customHeight="true" outlineLevel="0" collapsed="false">
      <c r="A3" s="8" t="s">
        <v>40</v>
      </c>
      <c r="B3" s="7" t="s">
        <v>76</v>
      </c>
      <c r="C3" s="7" t="s">
        <v>77</v>
      </c>
      <c r="D3" s="7" t="s">
        <v>78</v>
      </c>
      <c r="E3" s="8" t="s">
        <v>74</v>
      </c>
      <c r="F3" s="7" t="s">
        <v>79</v>
      </c>
      <c r="G3" s="8"/>
    </row>
    <row r="4" customFormat="false" ht="55.5" hidden="false" customHeight="true" outlineLevel="0" collapsed="false">
      <c r="A4" s="10" t="s">
        <v>40</v>
      </c>
      <c r="B4" s="11" t="s">
        <v>80</v>
      </c>
      <c r="C4" s="11" t="s">
        <v>81</v>
      </c>
      <c r="D4" s="11" t="s">
        <v>82</v>
      </c>
      <c r="E4" s="10" t="s">
        <v>83</v>
      </c>
      <c r="F4" s="11" t="s">
        <v>84</v>
      </c>
      <c r="G4" s="10"/>
    </row>
    <row r="5" customFormat="false" ht="55.5" hidden="false" customHeight="true" outlineLevel="0" collapsed="false">
      <c r="A5" s="8" t="s">
        <v>40</v>
      </c>
      <c r="B5" s="7" t="s">
        <v>85</v>
      </c>
      <c r="C5" s="7" t="s">
        <v>86</v>
      </c>
      <c r="D5" s="7" t="s">
        <v>87</v>
      </c>
      <c r="E5" s="8" t="s">
        <v>74</v>
      </c>
      <c r="F5" s="7" t="s">
        <v>88</v>
      </c>
      <c r="G5" s="8"/>
    </row>
    <row r="6" customFormat="false" ht="55.5" hidden="false" customHeight="true" outlineLevel="0" collapsed="false">
      <c r="A6" s="8" t="s">
        <v>40</v>
      </c>
      <c r="B6" s="7" t="s">
        <v>89</v>
      </c>
      <c r="C6" s="7" t="s">
        <v>90</v>
      </c>
      <c r="D6" s="7" t="s">
        <v>91</v>
      </c>
      <c r="E6" s="8" t="s">
        <v>74</v>
      </c>
      <c r="F6" s="7" t="s">
        <v>92</v>
      </c>
      <c r="G6" s="8"/>
    </row>
    <row r="7" customFormat="false" ht="55.5" hidden="false" customHeight="true" outlineLevel="0" collapsed="false">
      <c r="A7" s="10" t="s">
        <v>44</v>
      </c>
      <c r="B7" s="11" t="s">
        <v>93</v>
      </c>
      <c r="C7" s="11" t="s">
        <v>94</v>
      </c>
      <c r="D7" s="11" t="s">
        <v>95</v>
      </c>
      <c r="E7" s="10" t="s">
        <v>83</v>
      </c>
      <c r="F7" s="11" t="s">
        <v>96</v>
      </c>
      <c r="G7" s="10"/>
    </row>
    <row r="8" customFormat="false" ht="55.5" hidden="false" customHeight="true" outlineLevel="0" collapsed="false">
      <c r="A8" s="8" t="s">
        <v>44</v>
      </c>
      <c r="B8" s="7" t="s">
        <v>97</v>
      </c>
      <c r="C8" s="7" t="s">
        <v>98</v>
      </c>
      <c r="D8" s="7" t="s">
        <v>99</v>
      </c>
      <c r="E8" s="8" t="s">
        <v>74</v>
      </c>
      <c r="F8" s="7" t="s">
        <v>100</v>
      </c>
      <c r="G8" s="8"/>
    </row>
    <row r="9" customFormat="false" ht="55.5" hidden="false" customHeight="true" outlineLevel="0" collapsed="false">
      <c r="A9" s="10" t="s">
        <v>44</v>
      </c>
      <c r="B9" s="11" t="s">
        <v>101</v>
      </c>
      <c r="C9" s="11" t="s">
        <v>102</v>
      </c>
      <c r="D9" s="11" t="s">
        <v>103</v>
      </c>
      <c r="E9" s="10" t="s">
        <v>83</v>
      </c>
      <c r="F9" s="11" t="s">
        <v>104</v>
      </c>
      <c r="G9" s="10"/>
    </row>
    <row r="10" customFormat="false" ht="55.5" hidden="false" customHeight="true" outlineLevel="0" collapsed="false">
      <c r="A10" s="8" t="s">
        <v>44</v>
      </c>
      <c r="B10" s="7" t="s">
        <v>105</v>
      </c>
      <c r="C10" s="7" t="s">
        <v>106</v>
      </c>
      <c r="D10" s="7" t="s">
        <v>107</v>
      </c>
      <c r="E10" s="8" t="s">
        <v>74</v>
      </c>
      <c r="F10" s="7" t="s">
        <v>108</v>
      </c>
      <c r="G10" s="8"/>
    </row>
    <row r="11" customFormat="false" ht="55.5" hidden="false" customHeight="true" outlineLevel="0" collapsed="false">
      <c r="A11" s="10" t="s">
        <v>44</v>
      </c>
      <c r="B11" s="11" t="s">
        <v>109</v>
      </c>
      <c r="C11" s="11" t="s">
        <v>110</v>
      </c>
      <c r="D11" s="11" t="s">
        <v>111</v>
      </c>
      <c r="E11" s="10" t="s">
        <v>83</v>
      </c>
      <c r="F11" s="11" t="s">
        <v>112</v>
      </c>
      <c r="G11" s="10"/>
    </row>
    <row r="12" customFormat="false" ht="55.5" hidden="false" customHeight="true" outlineLevel="0" collapsed="false">
      <c r="A12" s="8" t="s">
        <v>47</v>
      </c>
      <c r="B12" s="7" t="s">
        <v>113</v>
      </c>
      <c r="C12" s="7" t="s">
        <v>114</v>
      </c>
      <c r="D12" s="7" t="s">
        <v>115</v>
      </c>
      <c r="E12" s="8" t="s">
        <v>74</v>
      </c>
      <c r="F12" s="7" t="s">
        <v>116</v>
      </c>
      <c r="G12" s="8"/>
    </row>
    <row r="13" customFormat="false" ht="55.5" hidden="false" customHeight="true" outlineLevel="0" collapsed="false">
      <c r="A13" s="10" t="s">
        <v>47</v>
      </c>
      <c r="B13" s="11" t="s">
        <v>117</v>
      </c>
      <c r="C13" s="11" t="s">
        <v>118</v>
      </c>
      <c r="D13" s="11" t="s">
        <v>119</v>
      </c>
      <c r="E13" s="10" t="s">
        <v>83</v>
      </c>
      <c r="F13" s="11" t="s">
        <v>120</v>
      </c>
      <c r="G13" s="10"/>
    </row>
    <row r="14" customFormat="false" ht="55.5" hidden="false" customHeight="true" outlineLevel="0" collapsed="false">
      <c r="A14" s="8" t="s">
        <v>47</v>
      </c>
      <c r="B14" s="7" t="s">
        <v>121</v>
      </c>
      <c r="C14" s="7" t="s">
        <v>122</v>
      </c>
      <c r="D14" s="7" t="s">
        <v>123</v>
      </c>
      <c r="E14" s="8" t="s">
        <v>74</v>
      </c>
      <c r="F14" s="7" t="s">
        <v>124</v>
      </c>
      <c r="G14" s="8"/>
    </row>
    <row r="15" customFormat="false" ht="55.5" hidden="false" customHeight="true" outlineLevel="0" collapsed="false">
      <c r="A15" s="8" t="s">
        <v>47</v>
      </c>
      <c r="B15" s="7" t="s">
        <v>125</v>
      </c>
      <c r="C15" s="7" t="s">
        <v>126</v>
      </c>
      <c r="D15" s="7" t="s">
        <v>127</v>
      </c>
      <c r="E15" s="8" t="s">
        <v>74</v>
      </c>
      <c r="F15" s="7" t="s">
        <v>128</v>
      </c>
      <c r="G15" s="8"/>
    </row>
    <row r="16" customFormat="false" ht="55.5" hidden="false" customHeight="true" outlineLevel="0" collapsed="false">
      <c r="A16" s="8" t="s">
        <v>47</v>
      </c>
      <c r="B16" s="7" t="s">
        <v>129</v>
      </c>
      <c r="C16" s="7" t="s">
        <v>130</v>
      </c>
      <c r="D16" s="7" t="s">
        <v>131</v>
      </c>
      <c r="E16" s="8" t="s">
        <v>74</v>
      </c>
      <c r="F16" s="7" t="s">
        <v>132</v>
      </c>
      <c r="G16" s="8"/>
    </row>
    <row r="17" customFormat="false" ht="55.5" hidden="false" customHeight="true" outlineLevel="0" collapsed="false">
      <c r="A17" s="10" t="s">
        <v>51</v>
      </c>
      <c r="B17" s="11" t="s">
        <v>133</v>
      </c>
      <c r="C17" s="11" t="s">
        <v>134</v>
      </c>
      <c r="D17" s="11" t="s">
        <v>135</v>
      </c>
      <c r="E17" s="10" t="s">
        <v>83</v>
      </c>
      <c r="F17" s="11" t="s">
        <v>136</v>
      </c>
      <c r="G17" s="10"/>
    </row>
    <row r="18" customFormat="false" ht="55.5" hidden="false" customHeight="true" outlineLevel="0" collapsed="false">
      <c r="A18" s="10" t="s">
        <v>51</v>
      </c>
      <c r="B18" s="11" t="s">
        <v>137</v>
      </c>
      <c r="C18" s="11" t="s">
        <v>138</v>
      </c>
      <c r="D18" s="11" t="s">
        <v>139</v>
      </c>
      <c r="E18" s="10" t="s">
        <v>83</v>
      </c>
      <c r="F18" s="11" t="s">
        <v>140</v>
      </c>
      <c r="G18" s="10"/>
    </row>
    <row r="19" customFormat="false" ht="55.5" hidden="false" customHeight="true" outlineLevel="0" collapsed="false">
      <c r="A19" s="10" t="s">
        <v>51</v>
      </c>
      <c r="B19" s="11" t="s">
        <v>141</v>
      </c>
      <c r="C19" s="11" t="s">
        <v>142</v>
      </c>
      <c r="D19" s="11" t="s">
        <v>143</v>
      </c>
      <c r="E19" s="10" t="s">
        <v>83</v>
      </c>
      <c r="F19" s="11" t="s">
        <v>144</v>
      </c>
      <c r="G19" s="10"/>
    </row>
    <row r="20" customFormat="false" ht="55.5" hidden="false" customHeight="true" outlineLevel="0" collapsed="false">
      <c r="A20" s="8" t="s">
        <v>51</v>
      </c>
      <c r="B20" s="7" t="s">
        <v>145</v>
      </c>
      <c r="C20" s="7" t="s">
        <v>146</v>
      </c>
      <c r="D20" s="7" t="s">
        <v>147</v>
      </c>
      <c r="E20" s="8" t="s">
        <v>74</v>
      </c>
      <c r="F20" s="7" t="s">
        <v>148</v>
      </c>
      <c r="G20" s="8"/>
    </row>
    <row r="21" customFormat="false" ht="55.5" hidden="false" customHeight="true" outlineLevel="0" collapsed="false">
      <c r="A21" s="10" t="s">
        <v>54</v>
      </c>
      <c r="B21" s="11" t="s">
        <v>149</v>
      </c>
      <c r="C21" s="11" t="s">
        <v>150</v>
      </c>
      <c r="D21" s="11" t="s">
        <v>151</v>
      </c>
      <c r="E21" s="10" t="s">
        <v>83</v>
      </c>
      <c r="F21" s="11" t="s">
        <v>152</v>
      </c>
      <c r="G21" s="10"/>
    </row>
    <row r="22" customFormat="false" ht="55.5" hidden="false" customHeight="true" outlineLevel="0" collapsed="false">
      <c r="A22" s="10" t="s">
        <v>54</v>
      </c>
      <c r="B22" s="11" t="s">
        <v>153</v>
      </c>
      <c r="C22" s="11" t="s">
        <v>154</v>
      </c>
      <c r="D22" s="11" t="s">
        <v>155</v>
      </c>
      <c r="E22" s="10" t="s">
        <v>83</v>
      </c>
      <c r="F22" s="11" t="s">
        <v>156</v>
      </c>
      <c r="G22" s="10"/>
    </row>
    <row r="23" customFormat="false" ht="55.5" hidden="false" customHeight="true" outlineLevel="0" collapsed="false">
      <c r="A23" s="8" t="s">
        <v>54</v>
      </c>
      <c r="B23" s="7" t="s">
        <v>157</v>
      </c>
      <c r="C23" s="7" t="s">
        <v>158</v>
      </c>
      <c r="D23" s="7" t="s">
        <v>159</v>
      </c>
      <c r="E23" s="8" t="s">
        <v>74</v>
      </c>
      <c r="F23" s="7" t="s">
        <v>160</v>
      </c>
      <c r="G23" s="8"/>
    </row>
    <row r="24" customFormat="false" ht="55.5" hidden="false" customHeight="true" outlineLevel="0" collapsed="false">
      <c r="A24" s="8" t="s">
        <v>40</v>
      </c>
      <c r="B24" s="7" t="s">
        <v>161</v>
      </c>
      <c r="C24" s="7" t="s">
        <v>162</v>
      </c>
      <c r="D24" s="7" t="s">
        <v>163</v>
      </c>
      <c r="E24" s="8" t="s">
        <v>74</v>
      </c>
      <c r="F24" s="7" t="s">
        <v>164</v>
      </c>
      <c r="G24" s="8"/>
    </row>
    <row r="25" customFormat="false" ht="55.5" hidden="false" customHeight="true" outlineLevel="0" collapsed="false">
      <c r="A25" s="10" t="s">
        <v>47</v>
      </c>
      <c r="B25" s="11" t="s">
        <v>165</v>
      </c>
      <c r="C25" s="11" t="s">
        <v>166</v>
      </c>
      <c r="D25" s="11" t="s">
        <v>167</v>
      </c>
      <c r="E25" s="10" t="s">
        <v>83</v>
      </c>
      <c r="F25" s="11" t="s">
        <v>168</v>
      </c>
      <c r="G25" s="10"/>
    </row>
    <row r="26" customFormat="false" ht="55.5" hidden="false" customHeight="true" outlineLevel="0" collapsed="false">
      <c r="A26" s="10" t="s">
        <v>51</v>
      </c>
      <c r="B26" s="11" t="s">
        <v>169</v>
      </c>
      <c r="C26" s="11" t="s">
        <v>170</v>
      </c>
      <c r="D26" s="11" t="s">
        <v>171</v>
      </c>
      <c r="E26" s="10" t="s">
        <v>83</v>
      </c>
      <c r="F26" s="11" t="s">
        <v>172</v>
      </c>
      <c r="G26" s="10"/>
    </row>
    <row r="27" customFormat="false" ht="55.5" hidden="false" customHeight="true" outlineLevel="0" collapsed="false">
      <c r="A27" s="8" t="s">
        <v>51</v>
      </c>
      <c r="B27" s="7" t="s">
        <v>173</v>
      </c>
      <c r="C27" s="7" t="s">
        <v>174</v>
      </c>
      <c r="D27" s="7" t="s">
        <v>175</v>
      </c>
      <c r="E27" s="8" t="s">
        <v>74</v>
      </c>
      <c r="F27" s="7" t="s">
        <v>176</v>
      </c>
      <c r="G27" s="8"/>
    </row>
    <row r="28" customFormat="false" ht="55.5" hidden="false" customHeight="true" outlineLevel="0" collapsed="false">
      <c r="A28" s="10" t="s">
        <v>54</v>
      </c>
      <c r="B28" s="11" t="s">
        <v>177</v>
      </c>
      <c r="C28" s="11" t="s">
        <v>178</v>
      </c>
      <c r="D28" s="11" t="s">
        <v>179</v>
      </c>
      <c r="E28" s="10" t="s">
        <v>83</v>
      </c>
      <c r="F28" s="11" t="s">
        <v>180</v>
      </c>
      <c r="G28" s="10"/>
    </row>
  </sheetData>
  <autoFilter ref="A1:G28"/>
  <dataValidations count="1">
    <dataValidation allowBlank="true" errorStyle="stop" operator="between" showDropDown="false" showErrorMessage="false" showInputMessage="false" sqref="G2:G28" type="list">
      <formula1>"Agora,Depois,Cortar,Em discussão"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5" min="5" style="0" width="46"/>
  </cols>
  <sheetData>
    <row r="1" customFormat="false" ht="16.15" hidden="false" customHeight="false" outlineLevel="0" collapsed="false">
      <c r="A1" s="12" t="s">
        <v>181</v>
      </c>
    </row>
    <row r="2" customFormat="false" ht="15" hidden="false" customHeight="false" outlineLevel="0" collapsed="false">
      <c r="A2" s="2" t="s">
        <v>182</v>
      </c>
    </row>
    <row r="4" customFormat="false" ht="27.75" hidden="false" customHeight="true" outlineLevel="0" collapsed="false">
      <c r="A4" s="6" t="s">
        <v>183</v>
      </c>
      <c r="B4" s="6" t="s">
        <v>184</v>
      </c>
      <c r="C4" s="6" t="s">
        <v>185</v>
      </c>
      <c r="D4" s="6" t="s">
        <v>186</v>
      </c>
      <c r="E4" s="6" t="s">
        <v>187</v>
      </c>
    </row>
    <row r="5" customFormat="false" ht="67.5" hidden="false" customHeight="true" outlineLevel="0" collapsed="false">
      <c r="A5" s="8" t="n">
        <v>1</v>
      </c>
      <c r="B5" s="8" t="s">
        <v>188</v>
      </c>
      <c r="C5" s="7" t="s">
        <v>189</v>
      </c>
      <c r="D5" s="7" t="s">
        <v>190</v>
      </c>
      <c r="E5" s="7" t="s">
        <v>191</v>
      </c>
    </row>
    <row r="6" customFormat="false" ht="67.5" hidden="false" customHeight="true" outlineLevel="0" collapsed="false">
      <c r="A6" s="8" t="n">
        <v>2</v>
      </c>
      <c r="B6" s="8" t="s">
        <v>192</v>
      </c>
      <c r="C6" s="7" t="s">
        <v>193</v>
      </c>
      <c r="D6" s="7" t="s">
        <v>194</v>
      </c>
      <c r="E6" s="7" t="s">
        <v>195</v>
      </c>
    </row>
    <row r="7" customFormat="false" ht="67.5" hidden="false" customHeight="true" outlineLevel="0" collapsed="false">
      <c r="A7" s="8" t="n">
        <v>3</v>
      </c>
      <c r="B7" s="8" t="s">
        <v>196</v>
      </c>
      <c r="C7" s="7" t="s">
        <v>197</v>
      </c>
      <c r="D7" s="7" t="s">
        <v>198</v>
      </c>
      <c r="E7" s="7" t="s">
        <v>199</v>
      </c>
    </row>
    <row r="8" customFormat="false" ht="67.5" hidden="false" customHeight="true" outlineLevel="0" collapsed="false">
      <c r="A8" s="8" t="n">
        <v>4</v>
      </c>
      <c r="B8" s="8" t="s">
        <v>200</v>
      </c>
      <c r="C8" s="7" t="s">
        <v>201</v>
      </c>
      <c r="D8" s="7" t="s">
        <v>202</v>
      </c>
      <c r="E8" s="7" t="s">
        <v>203</v>
      </c>
    </row>
    <row r="9" customFormat="false" ht="67.5" hidden="false" customHeight="true" outlineLevel="0" collapsed="false">
      <c r="A9" s="8" t="n">
        <v>5</v>
      </c>
      <c r="B9" s="8" t="s">
        <v>204</v>
      </c>
      <c r="C9" s="7" t="s">
        <v>205</v>
      </c>
      <c r="D9" s="7" t="s">
        <v>206</v>
      </c>
      <c r="E9" s="7" t="s">
        <v>207</v>
      </c>
    </row>
    <row r="10" customFormat="false" ht="67.5" hidden="false" customHeight="true" outlineLevel="0" collapsed="false">
      <c r="A10" s="8" t="n">
        <v>6</v>
      </c>
      <c r="B10" s="8" t="s">
        <v>208</v>
      </c>
      <c r="C10" s="7" t="s">
        <v>209</v>
      </c>
      <c r="D10" s="7" t="s">
        <v>210</v>
      </c>
      <c r="E10" s="7" t="s">
        <v>211</v>
      </c>
    </row>
    <row r="11" customFormat="false" ht="67.5" hidden="false" customHeight="true" outlineLevel="0" collapsed="false">
      <c r="A11" s="8" t="n">
        <v>7</v>
      </c>
      <c r="B11" s="8" t="s">
        <v>212</v>
      </c>
      <c r="C11" s="7" t="s">
        <v>213</v>
      </c>
      <c r="D11" s="7" t="s">
        <v>214</v>
      </c>
      <c r="E11" s="7" t="s">
        <v>215</v>
      </c>
    </row>
    <row r="12" customFormat="false" ht="67.5" hidden="false" customHeight="true" outlineLevel="0" collapsed="false">
      <c r="A12" s="8" t="n">
        <v>8</v>
      </c>
      <c r="B12" s="8" t="s">
        <v>216</v>
      </c>
      <c r="C12" s="7" t="s">
        <v>217</v>
      </c>
      <c r="D12" s="7" t="s">
        <v>218</v>
      </c>
      <c r="E12" s="7" t="s">
        <v>219</v>
      </c>
    </row>
    <row r="13" customFormat="false" ht="67.5" hidden="false" customHeight="true" outlineLevel="0" collapsed="false">
      <c r="A13" s="8" t="n">
        <v>9</v>
      </c>
      <c r="B13" s="8" t="s">
        <v>220</v>
      </c>
      <c r="C13" s="7" t="s">
        <v>221</v>
      </c>
      <c r="D13" s="7" t="s">
        <v>222</v>
      </c>
      <c r="E13" s="7" t="s">
        <v>223</v>
      </c>
    </row>
    <row r="14" customFormat="false" ht="67.5" hidden="false" customHeight="true" outlineLevel="0" collapsed="false">
      <c r="A14" s="8" t="n">
        <v>10</v>
      </c>
      <c r="B14" s="8" t="s">
        <v>224</v>
      </c>
      <c r="C14" s="7" t="s">
        <v>225</v>
      </c>
      <c r="D14" s="7" t="s">
        <v>226</v>
      </c>
      <c r="E14" s="7" t="s">
        <v>227</v>
      </c>
    </row>
    <row r="15" customFormat="false" ht="67.5" hidden="false" customHeight="true" outlineLevel="0" collapsed="false">
      <c r="A15" s="8" t="n">
        <v>11</v>
      </c>
      <c r="B15" s="8" t="s">
        <v>228</v>
      </c>
      <c r="C15" s="7" t="s">
        <v>229</v>
      </c>
      <c r="D15" s="7" t="s">
        <v>230</v>
      </c>
      <c r="E15" s="7" t="s">
        <v>231</v>
      </c>
    </row>
    <row r="16" customFormat="false" ht="67.5" hidden="false" customHeight="true" outlineLevel="0" collapsed="false">
      <c r="A16" s="8" t="n">
        <v>12</v>
      </c>
      <c r="B16" s="8" t="s">
        <v>232</v>
      </c>
      <c r="C16" s="7" t="s">
        <v>233</v>
      </c>
      <c r="D16" s="7" t="s">
        <v>234</v>
      </c>
      <c r="E16" s="7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50"/>
    <col collapsed="false" customWidth="true" hidden="false" outlineLevel="0" max="4" min="4" style="0" width="32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12" t="s">
        <v>236</v>
      </c>
    </row>
    <row r="2" customFormat="false" ht="15" hidden="false" customHeight="false" outlineLevel="0" collapsed="false">
      <c r="A2" s="2" t="s">
        <v>237</v>
      </c>
    </row>
    <row r="4" customFormat="false" ht="27.75" hidden="false" customHeight="true" outlineLevel="0" collapsed="false">
      <c r="A4" s="6" t="s">
        <v>238</v>
      </c>
      <c r="B4" s="6" t="s">
        <v>239</v>
      </c>
      <c r="C4" s="6" t="s">
        <v>240</v>
      </c>
      <c r="D4" s="6" t="s">
        <v>241</v>
      </c>
      <c r="E4" s="6" t="s">
        <v>5</v>
      </c>
    </row>
    <row r="5" customFormat="false" ht="66" hidden="false" customHeight="true" outlineLevel="0" collapsed="false">
      <c r="A5" s="13" t="s">
        <v>242</v>
      </c>
      <c r="B5" s="14" t="s">
        <v>243</v>
      </c>
      <c r="C5" s="14" t="s">
        <v>244</v>
      </c>
      <c r="D5" s="14" t="s">
        <v>245</v>
      </c>
      <c r="E5" s="14" t="s">
        <v>246</v>
      </c>
    </row>
    <row r="6" customFormat="false" ht="66" hidden="false" customHeight="true" outlineLevel="0" collapsed="false">
      <c r="A6" s="13" t="s">
        <v>247</v>
      </c>
      <c r="B6" s="14" t="s">
        <v>248</v>
      </c>
      <c r="C6" s="14" t="s">
        <v>249</v>
      </c>
      <c r="D6" s="14" t="s">
        <v>250</v>
      </c>
      <c r="E6" s="14"/>
    </row>
    <row r="7" customFormat="false" ht="66" hidden="false" customHeight="true" outlineLevel="0" collapsed="false">
      <c r="A7" s="13" t="s">
        <v>251</v>
      </c>
      <c r="B7" s="14" t="s">
        <v>252</v>
      </c>
      <c r="C7" s="14" t="s">
        <v>253</v>
      </c>
      <c r="D7" s="14" t="s">
        <v>254</v>
      </c>
      <c r="E7" s="14"/>
    </row>
    <row r="8" customFormat="false" ht="66" hidden="false" customHeight="true" outlineLevel="0" collapsed="false">
      <c r="A8" s="13" t="s">
        <v>255</v>
      </c>
      <c r="B8" s="14" t="s">
        <v>256</v>
      </c>
      <c r="C8" s="14" t="s">
        <v>257</v>
      </c>
      <c r="D8" s="14" t="s">
        <v>258</v>
      </c>
      <c r="E8" s="14"/>
    </row>
    <row r="9" customFormat="false" ht="66" hidden="false" customHeight="true" outlineLevel="0" collapsed="false">
      <c r="A9" s="13" t="s">
        <v>259</v>
      </c>
      <c r="B9" s="14" t="s">
        <v>260</v>
      </c>
      <c r="C9" s="14" t="s">
        <v>261</v>
      </c>
      <c r="D9" s="14" t="s">
        <v>262</v>
      </c>
      <c r="E9" s="14" t="s">
        <v>263</v>
      </c>
    </row>
    <row r="10" customFormat="false" ht="66" hidden="false" customHeight="true" outlineLevel="0" collapsed="false">
      <c r="A10" s="13" t="s">
        <v>264</v>
      </c>
      <c r="B10" s="14" t="s">
        <v>265</v>
      </c>
      <c r="C10" s="14" t="s">
        <v>266</v>
      </c>
      <c r="D10" s="14" t="s">
        <v>267</v>
      </c>
      <c r="E10" s="14" t="s">
        <v>268</v>
      </c>
    </row>
    <row r="13" customFormat="false" ht="15" hidden="false" customHeight="false" outlineLevel="0" collapsed="false">
      <c r="A13" s="5" t="s">
        <v>269</v>
      </c>
    </row>
    <row r="14" customFormat="false" ht="15" hidden="false" customHeight="false" outlineLevel="0" collapsed="false">
      <c r="A14" s="2" t="s">
        <v>270</v>
      </c>
    </row>
    <row r="16" customFormat="false" ht="27.75" hidden="false" customHeight="true" outlineLevel="0" collapsed="false">
      <c r="A16" s="6" t="s">
        <v>65</v>
      </c>
      <c r="B16" s="6" t="s">
        <v>271</v>
      </c>
      <c r="C16" s="6" t="s">
        <v>272</v>
      </c>
    </row>
    <row r="17" customFormat="false" ht="31.5" hidden="false" customHeight="true" outlineLevel="0" collapsed="false">
      <c r="A17" s="7" t="s">
        <v>273</v>
      </c>
      <c r="B17" s="7" t="s">
        <v>274</v>
      </c>
      <c r="C17" s="7" t="s">
        <v>275</v>
      </c>
    </row>
    <row r="18" customFormat="false" ht="31.5" hidden="false" customHeight="true" outlineLevel="0" collapsed="false">
      <c r="A18" s="7" t="s">
        <v>276</v>
      </c>
      <c r="B18" s="7" t="s">
        <v>277</v>
      </c>
      <c r="C18" s="7" t="s">
        <v>278</v>
      </c>
    </row>
    <row r="19" customFormat="false" ht="31.5" hidden="false" customHeight="true" outlineLevel="0" collapsed="false">
      <c r="A19" s="7" t="s">
        <v>279</v>
      </c>
      <c r="B19" s="7" t="s">
        <v>280</v>
      </c>
      <c r="C19" s="7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92"/>
  </cols>
  <sheetData>
    <row r="1" customFormat="false" ht="16.15" hidden="false" customHeight="false" outlineLevel="0" collapsed="false">
      <c r="A1" s="12" t="s">
        <v>282</v>
      </c>
    </row>
    <row r="3" customFormat="false" ht="27.75" hidden="false" customHeight="true" outlineLevel="0" collapsed="false">
      <c r="A3" s="6" t="s">
        <v>283</v>
      </c>
      <c r="B3" s="6" t="s">
        <v>284</v>
      </c>
    </row>
    <row r="4" customFormat="false" ht="31.5" hidden="false" customHeight="true" outlineLevel="0" collapsed="false">
      <c r="A4" s="7" t="s">
        <v>285</v>
      </c>
      <c r="B4" s="7" t="s">
        <v>286</v>
      </c>
    </row>
    <row r="5" customFormat="false" ht="31.5" hidden="false" customHeight="true" outlineLevel="0" collapsed="false">
      <c r="A5" s="7" t="s">
        <v>287</v>
      </c>
      <c r="B5" s="7" t="s">
        <v>288</v>
      </c>
    </row>
    <row r="6" customFormat="false" ht="31.5" hidden="false" customHeight="true" outlineLevel="0" collapsed="false">
      <c r="A6" s="7" t="s">
        <v>289</v>
      </c>
      <c r="B6" s="7" t="s">
        <v>290</v>
      </c>
    </row>
    <row r="7" customFormat="false" ht="31.5" hidden="false" customHeight="true" outlineLevel="0" collapsed="false">
      <c r="A7" s="7" t="s">
        <v>291</v>
      </c>
      <c r="B7" s="7" t="s">
        <v>292</v>
      </c>
    </row>
    <row r="8" customFormat="false" ht="31.5" hidden="false" customHeight="true" outlineLevel="0" collapsed="false">
      <c r="A8" s="7" t="s">
        <v>293</v>
      </c>
      <c r="B8" s="7" t="s">
        <v>294</v>
      </c>
    </row>
    <row r="11" customFormat="false" ht="16.15" hidden="false" customHeight="false" outlineLevel="0" collapsed="false">
      <c r="A11" s="12" t="s">
        <v>295</v>
      </c>
    </row>
    <row r="12" customFormat="false" ht="27.75" hidden="false" customHeight="true" outlineLevel="0" collapsed="false">
      <c r="A12" s="6" t="s">
        <v>296</v>
      </c>
      <c r="B12" s="6" t="s">
        <v>297</v>
      </c>
    </row>
    <row r="13" customFormat="false" ht="30" hidden="false" customHeight="true" outlineLevel="0" collapsed="false">
      <c r="A13" s="15" t="s">
        <v>298</v>
      </c>
      <c r="B13" s="15" t="s">
        <v>299</v>
      </c>
    </row>
    <row r="14" customFormat="false" ht="30" hidden="false" customHeight="true" outlineLevel="0" collapsed="false">
      <c r="A14" s="15" t="s">
        <v>300</v>
      </c>
      <c r="B14" s="15" t="s">
        <v>301</v>
      </c>
    </row>
    <row r="15" customFormat="false" ht="30" hidden="false" customHeight="true" outlineLevel="0" collapsed="false">
      <c r="A15" s="15" t="s">
        <v>302</v>
      </c>
      <c r="B15" s="15" t="s">
        <v>303</v>
      </c>
    </row>
    <row r="16" customFormat="false" ht="30" hidden="false" customHeight="true" outlineLevel="0" collapsed="false">
      <c r="A16" s="15" t="s">
        <v>304</v>
      </c>
      <c r="B16" s="15" t="s">
        <v>305</v>
      </c>
    </row>
    <row r="17" customFormat="false" ht="30" hidden="false" customHeight="true" outlineLevel="0" collapsed="false">
      <c r="A17" s="15" t="s">
        <v>306</v>
      </c>
      <c r="B17" s="15" t="s">
        <v>307</v>
      </c>
    </row>
    <row r="18" customFormat="false" ht="30" hidden="false" customHeight="true" outlineLevel="0" collapsed="false">
      <c r="A18" s="15" t="s">
        <v>308</v>
      </c>
      <c r="B18" s="15" t="s">
        <v>309</v>
      </c>
    </row>
    <row r="19" customFormat="false" ht="30" hidden="false" customHeight="true" outlineLevel="0" collapsed="false">
      <c r="A19" s="15" t="s">
        <v>310</v>
      </c>
      <c r="B19" s="15" t="s">
        <v>311</v>
      </c>
    </row>
    <row r="20" customFormat="false" ht="30" hidden="false" customHeight="true" outlineLevel="0" collapsed="false">
      <c r="A20" s="15" t="s">
        <v>312</v>
      </c>
      <c r="B20" s="15" t="s">
        <v>313</v>
      </c>
    </row>
    <row r="21" customFormat="false" ht="30" hidden="false" customHeight="true" outlineLevel="0" collapsed="false">
      <c r="A21" s="15" t="s">
        <v>314</v>
      </c>
      <c r="B21" s="15" t="s">
        <v>315</v>
      </c>
    </row>
    <row r="22" customFormat="false" ht="30" hidden="false" customHeight="true" outlineLevel="0" collapsed="false">
      <c r="A22" s="15" t="s">
        <v>316</v>
      </c>
      <c r="B22" s="15" t="s">
        <v>317</v>
      </c>
    </row>
    <row r="23" customFormat="false" ht="30" hidden="false" customHeight="true" outlineLevel="0" collapsed="false">
      <c r="A23" s="15" t="s">
        <v>318</v>
      </c>
      <c r="B23" s="15" t="s">
        <v>319</v>
      </c>
    </row>
    <row r="24" customFormat="false" ht="30" hidden="false" customHeight="true" outlineLevel="0" collapsed="false">
      <c r="A24" s="15" t="s">
        <v>320</v>
      </c>
      <c r="B24" s="15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6"/>
    <col collapsed="false" customWidth="true" hidden="false" outlineLevel="0" max="4" min="3" style="0" width="16"/>
  </cols>
  <sheetData>
    <row r="1" customFormat="false" ht="16.15" hidden="false" customHeight="false" outlineLevel="0" collapsed="false">
      <c r="A1" s="12" t="s">
        <v>322</v>
      </c>
    </row>
    <row r="2" customFormat="false" ht="15" hidden="false" customHeight="false" outlineLevel="0" collapsed="false">
      <c r="A2" s="2" t="s">
        <v>323</v>
      </c>
    </row>
    <row r="4" customFormat="false" ht="27.75" hidden="false" customHeight="true" outlineLevel="0" collapsed="false">
      <c r="A4" s="6" t="s">
        <v>324</v>
      </c>
      <c r="B4" s="6" t="s">
        <v>325</v>
      </c>
      <c r="C4" s="6" t="s">
        <v>326</v>
      </c>
      <c r="D4" s="6" t="s">
        <v>327</v>
      </c>
    </row>
    <row r="5" customFormat="false" ht="49.5" hidden="false" customHeight="true" outlineLevel="0" collapsed="false">
      <c r="A5" s="7" t="s">
        <v>328</v>
      </c>
      <c r="B5" s="7" t="s">
        <v>329</v>
      </c>
      <c r="C5" s="8" t="s">
        <v>330</v>
      </c>
      <c r="D5" s="8"/>
    </row>
    <row r="6" customFormat="false" ht="49.5" hidden="false" customHeight="true" outlineLevel="0" collapsed="false">
      <c r="A6" s="7" t="s">
        <v>331</v>
      </c>
      <c r="B6" s="7" t="s">
        <v>332</v>
      </c>
      <c r="C6" s="8" t="s">
        <v>333</v>
      </c>
      <c r="D6" s="8"/>
    </row>
    <row r="7" customFormat="false" ht="49.5" hidden="false" customHeight="true" outlineLevel="0" collapsed="false">
      <c r="A7" s="7" t="s">
        <v>334</v>
      </c>
      <c r="B7" s="7" t="s">
        <v>335</v>
      </c>
      <c r="C7" s="8" t="s">
        <v>336</v>
      </c>
      <c r="D7" s="8"/>
    </row>
    <row r="8" customFormat="false" ht="49.5" hidden="false" customHeight="true" outlineLevel="0" collapsed="false">
      <c r="A8" s="7" t="s">
        <v>337</v>
      </c>
      <c r="B8" s="7" t="s">
        <v>338</v>
      </c>
      <c r="C8" s="8" t="s">
        <v>330</v>
      </c>
      <c r="D8" s="8"/>
    </row>
    <row r="9" customFormat="false" ht="49.5" hidden="false" customHeight="true" outlineLevel="0" collapsed="false">
      <c r="A9" s="7" t="s">
        <v>339</v>
      </c>
      <c r="B9" s="7" t="s">
        <v>340</v>
      </c>
      <c r="C9" s="8" t="s">
        <v>336</v>
      </c>
      <c r="D9" s="8"/>
    </row>
    <row r="10" customFormat="false" ht="49.5" hidden="false" customHeight="true" outlineLevel="0" collapsed="false">
      <c r="A10" s="7" t="s">
        <v>341</v>
      </c>
      <c r="B10" s="7" t="s">
        <v>342</v>
      </c>
      <c r="C10" s="8" t="s">
        <v>333</v>
      </c>
      <c r="D10" s="8"/>
    </row>
    <row r="11" customFormat="false" ht="49.5" hidden="false" customHeight="true" outlineLevel="0" collapsed="false">
      <c r="A11" s="7" t="s">
        <v>343</v>
      </c>
      <c r="B11" s="7" t="s">
        <v>344</v>
      </c>
      <c r="C11" s="8" t="s">
        <v>333</v>
      </c>
      <c r="D11" s="8"/>
    </row>
    <row r="12" customFormat="false" ht="49.5" hidden="false" customHeight="true" outlineLevel="0" collapsed="false">
      <c r="A12" s="7" t="s">
        <v>318</v>
      </c>
      <c r="B12" s="7" t="s">
        <v>345</v>
      </c>
      <c r="C12" s="8" t="s">
        <v>333</v>
      </c>
      <c r="D12" s="8"/>
    </row>
    <row r="13" customFormat="false" ht="49.5" hidden="false" customHeight="true" outlineLevel="0" collapsed="false">
      <c r="A13" s="7" t="s">
        <v>346</v>
      </c>
      <c r="B13" s="7" t="s">
        <v>347</v>
      </c>
      <c r="C13" s="8" t="s">
        <v>333</v>
      </c>
      <c r="D13" s="8"/>
    </row>
    <row r="14" customFormat="false" ht="49.5" hidden="false" customHeight="true" outlineLevel="0" collapsed="false">
      <c r="A14" s="7" t="s">
        <v>348</v>
      </c>
      <c r="B14" s="7" t="s">
        <v>349</v>
      </c>
      <c r="C14" s="8" t="s">
        <v>333</v>
      </c>
      <c r="D14" s="8"/>
    </row>
  </sheetData>
  <dataValidations count="1">
    <dataValidation allowBlank="true" errorStyle="stop" operator="between" showDropDown="false" showErrorMessage="false" showInputMessage="false" sqref="D5:D14" type="list">
      <formula1>"Aberta,Decidida"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2026-10-14T15:18:37Z</dcterms:created>
  <dc:creator>openpyxl</dc:creator>
  <dc:description/>
  <dc:language>en-US</dc:language>
  <cp:lastModifiedBy/>
  <dcterms:modified xsi:type="dcterms:W3CDTF">2026-10-14T15:18:37Z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