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alendário" sheetId="2" state="visible" r:id="rId4"/>
    <sheet name="Banco de pautas" sheetId="3" state="visible" r:id="rId5"/>
    <sheet name="Regras" sheetId="4" state="visible" r:id="rId6"/>
    <sheet name="Filtro" sheetId="5" state="visible" r:id="rId7"/>
    <sheet name="Medição dos pontos" sheetId="6" state="visible" r:id="rId8"/>
    <sheet name="Marcos" sheetId="7" state="visible" r:id="rId9"/>
  </sheets>
  <definedNames>
    <definedName function="false" hidden="true" localSheetId="2" name="_xlnm._FilterDatabase" vbProcedure="false">'Banco de pautas'!$A$1:$E$72</definedName>
    <definedName function="false" hidden="true" localSheetId="1" name="_xlnm._FilterDatabase" vbProcedure="false">Calendário!$A$1:$K$101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<sst xmlns="http://schemas.openxmlformats.org/spreadsheetml/2006/main" count="1260" uniqueCount="381">
  <si>
    <t xml:space="preserve">Calendário Editorial — O Beco Gelato</t>
  </si>
  <si>
    <t xml:space="preserve">Outubro a dezembro de 2026 · direção de conteúdo para a equipe de marketing</t>
  </si>
  <si>
    <t xml:space="preserve">O eixo</t>
  </si>
  <si>
    <t xml:space="preserve">Não vendemos renúncia, vendemos equilíbrio. Na prática: o prazer abre a peça e o atributo fecha — nunca o contrário. E nenhum selo aparece sem a ficha do sabor atrás dele.</t>
  </si>
  <si>
    <t xml:space="preserve">Os dois públicos</t>
  </si>
  <si>
    <t xml:space="preserve">B2C vende a colherada. B2B vende a oportunidade atrás da colherada — sem nunca parecer que estamos procurando revendedor. A peça de dupla leitura fala com os dois ao mesmo tempo: o consumidor pensa 'quero um perto de mim', o dono do ponto pensa 'quero ser um desses lugares'.</t>
  </si>
  <si>
    <t xml:space="preserve">O que a equipe preenche</t>
  </si>
  <si>
    <t xml:space="preserve">Só as colunas Status, Responsável e Link da peça, na aba Calendário. As colunas de pauta (Pilar, Formato, Gancho, O que a peça mostra) são direção — mudança nelas passa pelo Gabriel.</t>
  </si>
  <si>
    <t xml:space="preserve">Antes de publicar</t>
  </si>
  <si>
    <t xml:space="preserve">Toda peça passa pelas sete perguntas do filtro de aprovação, na aba Filtro. Duas delas são eliminatórias: selo e número conferidos com a ficha do sabor, e pote sem mockup.</t>
  </si>
  <si>
    <t xml:space="preserve">O que trava conteúdo hoje</t>
  </si>
  <si>
    <t xml:space="preserve">Três coisas dependem de decisão do Gabriel e não podem ir ao ar até lá: o número de vagas da Turma Fundadora, qualquer número de giro não medido, e a resposta sobre sabores veganos. Ver aba Regras.</t>
  </si>
  <si>
    <t xml:space="preserve">A conta do trimestre</t>
  </si>
  <si>
    <t xml:space="preserve">Leitura</t>
  </si>
  <si>
    <t xml:space="preserve">Peças</t>
  </si>
  <si>
    <t xml:space="preserve">% do total</t>
  </si>
  <si>
    <t xml:space="preserve">Alvo</t>
  </si>
  <si>
    <t xml:space="preserve">Marca e consumidor (B2C)</t>
  </si>
  <si>
    <t xml:space="preserve">70% a 80% do total</t>
  </si>
  <si>
    <t xml:space="preserve">Dupla leitura</t>
  </si>
  <si>
    <t xml:space="preserve">conta como marca</t>
  </si>
  <si>
    <t xml:space="preserve">Leitura B2B</t>
  </si>
  <si>
    <t xml:space="preserve">20% a 30% do total</t>
  </si>
  <si>
    <t xml:space="preserve">Total de peças</t>
  </si>
  <si>
    <t xml:space="preserve">12 semanas</t>
  </si>
  <si>
    <t xml:space="preserve">Exemplo de linha preenchida pela equipe:</t>
  </si>
  <si>
    <t xml:space="preserve">Status</t>
  </si>
  <si>
    <t xml:space="preserve">Responsável</t>
  </si>
  <si>
    <t xml:space="preserve">Link da peça</t>
  </si>
  <si>
    <t xml:space="preserve">Publicado</t>
  </si>
  <si>
    <t xml:space="preserve">Marina</t>
  </si>
  <si>
    <t xml:space="preserve">https://instagram.com/p/exemplo</t>
  </si>
  <si>
    <t xml:space="preserve">Data</t>
  </si>
  <si>
    <t xml:space="preserve">Semana</t>
  </si>
  <si>
    <t xml:space="preserve">Dia</t>
  </si>
  <si>
    <t xml:space="preserve">Público</t>
  </si>
  <si>
    <t xml:space="preserve">Pilar ou território</t>
  </si>
  <si>
    <t xml:space="preserve">Formato</t>
  </si>
  <si>
    <t xml:space="preserve">Gancho (primeira linha da peça)</t>
  </si>
  <si>
    <t xml:space="preserve">O que a peça mostra</t>
  </si>
  <si>
    <t xml:space="preserve">quinta</t>
  </si>
  <si>
    <t xml:space="preserve">B2B</t>
  </si>
  <si>
    <t xml:space="preserve">B2B 3 — fit por estabelecimento</t>
  </si>
  <si>
    <t xml:space="preserve">Carrossel 4 cards</t>
  </si>
  <si>
    <t xml:space="preserve">O seu aluno termina o treino e compra o quê?</t>
  </si>
  <si>
    <t xml:space="preserve">a lacuna entre o fim do treino e o que a recepção vende — fecha no Boost, não abre nele</t>
  </si>
  <si>
    <t xml:space="preserve">A produzir</t>
  </si>
  <si>
    <t xml:space="preserve">sexta</t>
  </si>
  <si>
    <t xml:space="preserve">B2C</t>
  </si>
  <si>
    <t xml:space="preserve">Daqui</t>
  </si>
  <si>
    <t xml:space="preserve">Foto de ambiente</t>
  </si>
  <si>
    <t xml:space="preserve">O pote na cadeira de praia em Guarajuba, quatro da tarde.</t>
  </si>
  <si>
    <t xml:space="preserve">lugar nomeado, sem clichê de paraíso</t>
  </si>
  <si>
    <t xml:space="preserve">sábado</t>
  </si>
  <si>
    <t xml:space="preserve">A colherada</t>
  </si>
  <si>
    <t xml:space="preserve">Reels 10 s</t>
  </si>
  <si>
    <t xml:space="preserve">A espátula puxando o Brigadeiro, ainda no balde.</t>
  </si>
  <si>
    <t xml:space="preserve">macro, áudio original, sem trilha de hit</t>
  </si>
  <si>
    <t xml:space="preserve">Dupla</t>
  </si>
  <si>
    <t xml:space="preserve">Carrossel 3 cards</t>
  </si>
  <si>
    <t xml:space="preserve">O Beco cabe na sua rotina. E agora, cada vez mais perto de você.</t>
  </si>
  <si>
    <t xml:space="preserve">consumidor pensa 'quero um perto de mim'; dono pensa 'quero ser um desses lugares'</t>
  </si>
  <si>
    <t xml:space="preserve">domingo</t>
  </si>
  <si>
    <t xml:space="preserve">Oficina aberta</t>
  </si>
  <si>
    <t xml:space="preserve">Reels falado 40 s</t>
  </si>
  <si>
    <t xml:space="preserve">Por que o Pistache ainda não está no ponto.</t>
  </si>
  <si>
    <t xml:space="preserve">o teste que não te agradou e o que falta</t>
  </si>
  <si>
    <t xml:space="preserve">Onde achar</t>
  </si>
  <si>
    <t xml:space="preserve">Stories com localização</t>
  </si>
  <si>
    <t xml:space="preserve">Chegou freezer em [bairro].</t>
  </si>
  <si>
    <t xml:space="preserve">nome do ponto e do bairro, foto do freezer instalado</t>
  </si>
  <si>
    <t xml:space="preserve">segunda</t>
  </si>
  <si>
    <t xml:space="preserve">B2B 6 — demanda e prova social</t>
  </si>
  <si>
    <t xml:space="preserve">Stories print anonimizado</t>
  </si>
  <si>
    <t xml:space="preserve">Essa é a terceira pergunta dessa semana.</t>
  </si>
  <si>
    <t xml:space="preserve">mensagem espontânea de quem quer virar ponto — prova sem custo de produção</t>
  </si>
  <si>
    <t xml:space="preserve">terça</t>
  </si>
  <si>
    <t xml:space="preserve">Reels 8 s</t>
  </si>
  <si>
    <t xml:space="preserve">O lacre saindo e a primeira colherada.</t>
  </si>
  <si>
    <t xml:space="preserve">o pote como ele chega na mão, sem corte de edição</t>
  </si>
  <si>
    <t xml:space="preserve">quarta</t>
  </si>
  <si>
    <t xml:space="preserve">Equilíbrio</t>
  </si>
  <si>
    <t xml:space="preserve">A sobremesa depois do almoço que não derruba a tarde.</t>
  </si>
  <si>
    <t xml:space="preserve">cena de mesa, pote entrando no fim</t>
  </si>
  <si>
    <t xml:space="preserve">B2B 4 — operação simples</t>
  </si>
  <si>
    <t xml:space="preserve">Carrossel 5 cards</t>
  </si>
  <si>
    <t xml:space="preserve">Você vende. A gente cuida do resto.</t>
  </si>
  <si>
    <t xml:space="preserve">comodato, chega abastecido, reposição de 40 potes na rota, pote lacrado</t>
  </si>
  <si>
    <t xml:space="preserve">Calçadão de Vilas, fim de tarde.</t>
  </si>
  <si>
    <t xml:space="preserve">o bairro onde a entrega já roda</t>
  </si>
  <si>
    <t xml:space="preserve">Foto macro</t>
  </si>
  <si>
    <t xml:space="preserve">O verde do Pistache não vem de corante, vem da pasta.</t>
  </si>
  <si>
    <t xml:space="preserve">cor real do gelato, luz natural</t>
  </si>
  <si>
    <t xml:space="preserve">Stories + feed</t>
  </si>
  <si>
    <t xml:space="preserve">Chegou freezer em Vilas do Atlântico.</t>
  </si>
  <si>
    <t xml:space="preserve">consumidor quer o endereço; dono vê a rede chegando no bairro dele</t>
  </si>
  <si>
    <t xml:space="preserve">Stories 4 telas</t>
  </si>
  <si>
    <t xml:space="preserve">O teste que não virou produto essa semana.</t>
  </si>
  <si>
    <t xml:space="preserve">nomear como teste, sempre</t>
  </si>
  <si>
    <t xml:space="preserve">Post de feed</t>
  </si>
  <si>
    <t xml:space="preserve">Novo ponto: [nome do parceiro].</t>
  </si>
  <si>
    <t xml:space="preserve">o parceiro apresentado como lugar, não como revenda</t>
  </si>
  <si>
    <t xml:space="preserve">Stories em dois tempos</t>
  </si>
  <si>
    <t xml:space="preserve">Freezer esvaziando, reposição chegando.</t>
  </si>
  <si>
    <t xml:space="preserve">prateleira vazia de manhã, cheia de tarde</t>
  </si>
  <si>
    <t xml:space="preserve">Reels 12 s</t>
  </si>
  <si>
    <t xml:space="preserve">O crumble caindo em cima da Torta de Limão.</t>
  </si>
  <si>
    <t xml:space="preserve">a finalização em movimento</t>
  </si>
  <si>
    <t xml:space="preserve">Foto de cena</t>
  </si>
  <si>
    <t xml:space="preserve">Pós-treino que não é barrinha.</t>
  </si>
  <si>
    <t xml:space="preserve">saída da academia, pote na mão</t>
  </si>
  <si>
    <t xml:space="preserve">A sua prateleira tem a sobremesa que ele leva por impulso?</t>
  </si>
  <si>
    <t xml:space="preserve">o freezer entre a geladeira de frios e o caixa</t>
  </si>
  <si>
    <t xml:space="preserve">Busca Vida entre a piscina e o portão.</t>
  </si>
  <si>
    <t xml:space="preserve">condomínio, rotina de fim de semana</t>
  </si>
  <si>
    <t xml:space="preserve">Café Proteico espatulado contra a luz.</t>
  </si>
  <si>
    <t xml:space="preserve">textura e brilho, sem retoque de embalagem</t>
  </si>
  <si>
    <t xml:space="preserve">Reels 20 s</t>
  </si>
  <si>
    <t xml:space="preserve">Levamos os seis sabores até o balcão e a equipe provou antes de vender.</t>
  </si>
  <si>
    <t xml:space="preserve">consumidor quer provar; dono vê que a degustação é sem compromisso</t>
  </si>
  <si>
    <t xml:space="preserve">Como eu escolho o que entra na bancada.</t>
  </si>
  <si>
    <t xml:space="preserve">o critério, não o resultado</t>
  </si>
  <si>
    <t xml:space="preserve">Stories 3 telas</t>
  </si>
  <si>
    <t xml:space="preserve">Entrega em Vilas, Busca Vida e Lauro: como pedir.</t>
  </si>
  <si>
    <t xml:space="preserve">o caminho do pedido, sem link quebrado</t>
  </si>
  <si>
    <t xml:space="preserve">Post de feed mensal</t>
  </si>
  <si>
    <t xml:space="preserve">Onde tem Beco hoje.</t>
  </si>
  <si>
    <t xml:space="preserve">mapa dos pontos ativos — entrega o que a Turma Fundadora promete</t>
  </si>
  <si>
    <t xml:space="preserve">Carrossel 2 fotos</t>
  </si>
  <si>
    <t xml:space="preserve">A fruta antes, o pote depois.</t>
  </si>
  <si>
    <t xml:space="preserve">morango in natura e o sorbet pronto</t>
  </si>
  <si>
    <t xml:space="preserve">Sábado de manhã: café, pão e um pote.</t>
  </si>
  <si>
    <t xml:space="preserve">mesa de brunch em casa</t>
  </si>
  <si>
    <t xml:space="preserve">B2B 2 — case real de ponto</t>
  </si>
  <si>
    <t xml:space="preserve">30 dias de Beco neste ponto.</t>
  </si>
  <si>
    <t xml:space="preserve">instalação, primeira reposição e os três sabores de maior saída — só com número medido</t>
  </si>
  <si>
    <t xml:space="preserve">Reels 15 s</t>
  </si>
  <si>
    <t xml:space="preserve">Praia do Forte no meio da semana.</t>
  </si>
  <si>
    <t xml:space="preserve">a vila vazia, fora do fim de semana</t>
  </si>
  <si>
    <t xml:space="preserve">A cor da Manga com Maracujá sai da fruta.</t>
  </si>
  <si>
    <t xml:space="preserve">o sorbet sendo servido</t>
  </si>
  <si>
    <t xml:space="preserve">Reels 30 s</t>
  </si>
  <si>
    <t xml:space="preserve">Bater rápido e bater devagar dá dois gelatos diferentes.</t>
  </si>
  <si>
    <t xml:space="preserve">o ar na textura, explicado com a mão</t>
  </si>
  <si>
    <t xml:space="preserve">Reels 15 s + Stories</t>
  </si>
  <si>
    <t xml:space="preserve">Agora no iFood.</t>
  </si>
  <si>
    <t xml:space="preserve">MARCO — publicar só no dia em que a loja abrir de fato</t>
  </si>
  <si>
    <t xml:space="preserve">Reels 7 s</t>
  </si>
  <si>
    <t xml:space="preserve">A colher raspando o fundo do pote.</t>
  </si>
  <si>
    <t xml:space="preserve">o fim do pote, não o começo — prova de que acabou</t>
  </si>
  <si>
    <t xml:space="preserve">O pote de quem treina às seis da manhã.</t>
  </si>
  <si>
    <t xml:space="preserve">rotina real, sem discurso de dieta</t>
  </si>
  <si>
    <t xml:space="preserve">B2B 5 — desejo no PDV</t>
  </si>
  <si>
    <t xml:space="preserve">A colherada, agora dentro da loja de alguém.</t>
  </si>
  <si>
    <t xml:space="preserve">mesmo macro de sempre, com o ambiente do parceiro no enquadramento</t>
  </si>
  <si>
    <t xml:space="preserve">Itacimirim fora de temporada.</t>
  </si>
  <si>
    <t xml:space="preserve">praia de alto padrão sem multidão</t>
  </si>
  <si>
    <t xml:space="preserve">Cinco segundos fora do freezer.</t>
  </si>
  <si>
    <t xml:space="preserve">a textura que não derrete na hora</t>
  </si>
  <si>
    <t xml:space="preserve">Reels falado 30 s</t>
  </si>
  <si>
    <t xml:space="preserve">Quantas vezes eu refiz a Torta de Limão.</t>
  </si>
  <si>
    <t xml:space="preserve">número real de tentativas</t>
  </si>
  <si>
    <t xml:space="preserve">Stories</t>
  </si>
  <si>
    <t xml:space="preserve">O freezer do [ponto] acabou de ser reposto.</t>
  </si>
  <si>
    <t xml:space="preserve">reposição como sinal de giro</t>
  </si>
  <si>
    <t xml:space="preserve">Carrossel 6 cards</t>
  </si>
  <si>
    <t xml:space="preserve">Seis sabores, seis texturas diferentes.</t>
  </si>
  <si>
    <t xml:space="preserve">um macro por sabor, mesma luz</t>
  </si>
  <si>
    <t xml:space="preserve">Sem adição de açúcares não quer dizer sem graça.</t>
  </si>
  <si>
    <t xml:space="preserve">o argumento de sabor primeiro, o selo por último</t>
  </si>
  <si>
    <t xml:space="preserve">Card único</t>
  </si>
  <si>
    <t xml:space="preserve">O que o freezer exige de você: 1 m², uma tomada e só Beco dentro.</t>
  </si>
  <si>
    <t xml:space="preserve">a exclusividade dita de frente, com a energia de R$ 30 a R$ 45/mês</t>
  </si>
  <si>
    <t xml:space="preserve">Reels de deslocamento</t>
  </si>
  <si>
    <t xml:space="preserve">A Estrada do Coco é a nossa rota.</t>
  </si>
  <si>
    <t xml:space="preserve">o trajeto da entrega, da cozinha ao ponto</t>
  </si>
  <si>
    <t xml:space="preserve">Foto única</t>
  </si>
  <si>
    <t xml:space="preserve">Quanto é 150 ml na mão.</t>
  </si>
  <si>
    <t xml:space="preserve">escala real do pote, sem mockup</t>
  </si>
  <si>
    <t xml:space="preserve">O que é overrun e por que eu me importo.</t>
  </si>
  <si>
    <t xml:space="preserve">um conceito técnico por vez, em linguagem de cozinha</t>
  </si>
  <si>
    <t xml:space="preserve">Quer o Beco perto de você? Diz o lugar nos comentários.</t>
  </si>
  <si>
    <t xml:space="preserve">alimenta o mapa de bairros e o pipeline</t>
  </si>
  <si>
    <t xml:space="preserve">Reels 6 s</t>
  </si>
  <si>
    <t xml:space="preserve">O som do lacre.</t>
  </si>
  <si>
    <t xml:space="preserve">áudio original, sem música</t>
  </si>
  <si>
    <t xml:space="preserve">Sobremesa não é exceção. É parte.</t>
  </si>
  <si>
    <t xml:space="preserve">frase de posicionamento, arte limpa</t>
  </si>
  <si>
    <t xml:space="preserve">Depois do café, falta o que ele leva na mão.</t>
  </si>
  <si>
    <t xml:space="preserve">ocasião de meio da tarde para café e padaria, sem mexer na cozinha</t>
  </si>
  <si>
    <t xml:space="preserve">Foto de cozinha</t>
  </si>
  <si>
    <t xml:space="preserve">Feito em Lauro de Freitas.</t>
  </si>
  <si>
    <t xml:space="preserve">origem como fato, não como selo</t>
  </si>
  <si>
    <t xml:space="preserve">Por que o pote é de 150 ml e não de 300.</t>
  </si>
  <si>
    <t xml:space="preserve">decisão de porção, não de custo</t>
  </si>
  <si>
    <t xml:space="preserve">O que muda quando a sobremesa deixa de ser recompensa.</t>
  </si>
  <si>
    <t xml:space="preserve">você na câmera, sem roteiro decorado</t>
  </si>
  <si>
    <t xml:space="preserve">B2B 1 — potencial comercial</t>
  </si>
  <si>
    <t xml:space="preserve">Quanto um freezer pode gerar no seu ponto.</t>
  </si>
  <si>
    <t xml:space="preserve">giro medido em pontos reais, nunca a referência da proposta</t>
  </si>
  <si>
    <t xml:space="preserve">Arembepe de manhã cedo.</t>
  </si>
  <si>
    <t xml:space="preserve">vila, restaurante, movimento de verão</t>
  </si>
  <si>
    <t xml:space="preserve">A finalização que ainda não existe: farofa de pistache.</t>
  </si>
  <si>
    <t xml:space="preserve">desenvolvimento em aberto</t>
  </si>
  <si>
    <t xml:space="preserve">Equilíbrio é poder repetir amanhã.</t>
  </si>
  <si>
    <t xml:space="preserve">mesmo lugar, dois dias seguidos</t>
  </si>
  <si>
    <t xml:space="preserve">Noventa dias para medir. Não engatou, a gente retira.</t>
  </si>
  <si>
    <t xml:space="preserve">risco zero, dito por você — sem multa, sem discussão</t>
  </si>
  <si>
    <t xml:space="preserve">Carrossel 3 fotos</t>
  </si>
  <si>
    <t xml:space="preserve">O verão aqui começa antes de dezembro.</t>
  </si>
  <si>
    <t xml:space="preserve">o litoral em outubro e novembro</t>
  </si>
  <si>
    <t xml:space="preserve">Reels 45 s</t>
  </si>
  <si>
    <t xml:space="preserve">Um dia na cozinha, do mix ao lacre.</t>
  </si>
  <si>
    <t xml:space="preserve">processo inteiro, sem corte bonito demais</t>
  </si>
  <si>
    <t xml:space="preserve">Jantar leve e um pote depois.</t>
  </si>
  <si>
    <t xml:space="preserve">luz de fim de noite</t>
  </si>
  <si>
    <t xml:space="preserve">O freezer combina com a sua loja antes de combinar com o seu caixa.</t>
  </si>
  <si>
    <t xml:space="preserve">plotagem bege, verde oliva e marrom num balcão real</t>
  </si>
  <si>
    <t xml:space="preserve">Rio Vermelho no fim do dia.</t>
  </si>
  <si>
    <t xml:space="preserve">Salvador, não só o litoral norte</t>
  </si>
  <si>
    <t xml:space="preserve">O que eu aprendi no primeiro mês na rua.</t>
  </si>
  <si>
    <t xml:space="preserve">acertos e erros, com o erro primeiro</t>
  </si>
  <si>
    <t xml:space="preserve">Stories 2 telas</t>
  </si>
  <si>
    <t xml:space="preserve">O lanche da tarde de quem trabalha em casa.</t>
  </si>
  <si>
    <t xml:space="preserve">mesa de trabalho, pote e café</t>
  </si>
  <si>
    <t xml:space="preserve">Nem todo aluno quer barrinha de proteína.</t>
  </si>
  <si>
    <t xml:space="preserve">estúdio de pilates e wellness: sobremesa como cuidado, não como exceção</t>
  </si>
  <si>
    <t xml:space="preserve">Stella Maris depois do surf.</t>
  </si>
  <si>
    <t xml:space="preserve">público de praia urbana</t>
  </si>
  <si>
    <t xml:space="preserve">Sem açúcar adicionado: o que isso exige da receita.</t>
  </si>
  <si>
    <t xml:space="preserve">a dificuldade técnica, não o selo</t>
  </si>
  <si>
    <t xml:space="preserve">Boost depois do treino, Fresh depois do almoço.</t>
  </si>
  <si>
    <t xml:space="preserve">quando cada linha faz sentido — sem abrir na proteína</t>
  </si>
  <si>
    <t xml:space="preserve">Gancho</t>
  </si>
  <si>
    <t xml:space="preserve">Liberado?</t>
  </si>
  <si>
    <t xml:space="preserve">Sim</t>
  </si>
  <si>
    <t xml:space="preserve">Não vendemos renúncia, vendemos equilíbrio.</t>
  </si>
  <si>
    <t xml:space="preserve">Card manifesto</t>
  </si>
  <si>
    <t xml:space="preserve">uma vez por trimestre, não mais</t>
  </si>
  <si>
    <t xml:space="preserve">O Litoral Norte em seis sabores.</t>
  </si>
  <si>
    <t xml:space="preserve">cada sabor em um lugar diferente</t>
  </si>
  <si>
    <t xml:space="preserve">Qual sabor vocês querem ver testado?</t>
  </si>
  <si>
    <t xml:space="preserve">Stories com enquete</t>
  </si>
  <si>
    <t xml:space="preserve">feedback que alimenta a próxima rodada</t>
  </si>
  <si>
    <t xml:space="preserve">B2B 3 — Por que o Beco funciona aqui</t>
  </si>
  <si>
    <t xml:space="preserve">B2B 4 — Operação simples</t>
  </si>
  <si>
    <t xml:space="preserve">B2B 6 — Demanda e prova social</t>
  </si>
  <si>
    <t xml:space="preserve">B2B 5 — Desejo no ponto de venda</t>
  </si>
  <si>
    <t xml:space="preserve">B2B 2 — Case real de ponto</t>
  </si>
  <si>
    <t xml:space="preserve">precisa de 30 dias de freezer instalado e dos quatro campos da aba Medição</t>
  </si>
  <si>
    <t xml:space="preserve">B2B 1 — Potencial comercial</t>
  </si>
  <si>
    <t xml:space="preserve">precisa de 2 a 3 pontos medidos por 60 dias — dezembro, no mínimo</t>
  </si>
  <si>
    <t xml:space="preserve">Nunca entra — se aparecer, a peça volta</t>
  </si>
  <si>
    <t xml:space="preserve">Frente</t>
  </si>
  <si>
    <t xml:space="preserve">O que nunca entra</t>
  </si>
  <si>
    <t xml:space="preserve">Por quê</t>
  </si>
  <si>
    <t xml:space="preserve">Marca</t>
  </si>
  <si>
    <t xml:space="preserve">"Zero açúcar" como frase</t>
  </si>
  <si>
    <t xml:space="preserve">O selo é 'sem adição de açúcares', e é tolerância zero. No Sorbet Morango está em aberto enquanto a Pasta Fragola estiver na fórmula.</t>
  </si>
  <si>
    <t xml:space="preserve">"Sem lactose" como atributo da marca</t>
  </si>
  <si>
    <t xml:space="preserve">Vale para Fresh e Special. A linha Boost contém lactose, porque a base proteica contém.</t>
  </si>
  <si>
    <t xml:space="preserve">"Sem glúten"</t>
  </si>
  <si>
    <t xml:space="preserve">Não é atributo controlado da linha. Não afirmar, nem como gancho.</t>
  </si>
  <si>
    <t xml:space="preserve">Proteína abrindo a peça</t>
  </si>
  <si>
    <t xml:space="preserve">Boost é uma linha, não é o eixo da marca. Prazer abre, atributo fecha.</t>
  </si>
  <si>
    <t xml:space="preserve">Cachorro em campanha</t>
  </si>
  <si>
    <t xml:space="preserve">Decisão do Gabriel, já registrada. Vale para foto, ilustração e cena de fundo.</t>
  </si>
  <si>
    <t xml:space="preserve">Pote ou tampa em mockup, recolorizados ou redesenhados</t>
  </si>
  <si>
    <t xml:space="preserve">O pote da foto é o pote que chega na mão. Macro e cena de preparo, não render.</t>
  </si>
  <si>
    <t xml:space="preserve">Pote de 150 ml em cena de degustação de evento</t>
  </si>
  <si>
    <t xml:space="preserve">Em evento o que se serve é o copinho de até 60 g.</t>
  </si>
  <si>
    <t xml:space="preserve">Número de proteína que a ficha não fecha</t>
  </si>
  <si>
    <t xml:space="preserve">A Boost promete 12 g; o Brigadeiro hoje fecha 10,47 g sem a mescla.</t>
  </si>
  <si>
    <t xml:space="preserve">"Procuramos revendedores / representantes / distribuidores"</t>
  </si>
  <si>
    <t xml:space="preserve">Inverte a posição: quem procura aceita qualquer um. A oportunidade é mostrada, e ele levanta a mão.</t>
  </si>
  <si>
    <t xml:space="preserve">Número de giro que ainda não foi medido</t>
  </si>
  <si>
    <t xml:space="preserve">300 potes/mês é referência de proposta. Em post aberto vira promessa pública.</t>
  </si>
  <si>
    <t xml:space="preserve">A tabela de atacado em post aberto</t>
  </si>
  <si>
    <t xml:space="preserve">R$ 18,70 é conversa de proposta. Exposto, vira régua de desconto e constrange quem já fechou.</t>
  </si>
  <si>
    <t xml:space="preserve">Número de vagas da Turma Fundadora</t>
  </si>
  <si>
    <t xml:space="preserve">A proposta diz dez; a decisão de piloto fala em cinco. Enquanto os dois existirem, nenhum vai para post.</t>
  </si>
  <si>
    <t xml:space="preserve">Foto do ponto parceiro sem combinar com o dono</t>
  </si>
  <si>
    <t xml:space="preserve">O parceiro no conteúdo é parte do valor entregue — mas combinado antes.</t>
  </si>
  <si>
    <t xml:space="preserve">A voz — cinco traços</t>
  </si>
  <si>
    <t xml:space="preserve">Traço</t>
  </si>
  <si>
    <t xml:space="preserve">Soa assim</t>
  </si>
  <si>
    <t xml:space="preserve">Não soa assim</t>
  </si>
  <si>
    <t xml:space="preserve">Quem fala é você, não "a marca"</t>
  </si>
  <si>
    <t xml:space="preserve">Testei quatro vezes. Só a quarta ficou boa.</t>
  </si>
  <si>
    <t xml:space="preserve">O Beco Gelato traz para você o melhor em gelato saudável.</t>
  </si>
  <si>
    <t xml:space="preserve">Específico vence superlativo</t>
  </si>
  <si>
    <t xml:space="preserve">135 g por pote, batido devagar para entrar menos ar.</t>
  </si>
  <si>
    <t xml:space="preserve">Cremosidade incomparável, textura perfeita.</t>
  </si>
  <si>
    <t xml:space="preserve">Prazer abre, atributo fecha</t>
  </si>
  <si>
    <t xml:space="preserve">Brigadeiro de colher, aquele de domingo. Sem adição de açúcares.</t>
  </si>
  <si>
    <t xml:space="preserve">Gelato proteico zero açúcar, 12 g de proteína por pote.</t>
  </si>
  <si>
    <t xml:space="preserve">Lugar com nome</t>
  </si>
  <si>
    <t xml:space="preserve">Fim de tarde no calçadão de Vilas.</t>
  </si>
  <si>
    <t xml:space="preserve">Um paraíso tropical de águas cristalinas.</t>
  </si>
  <si>
    <t xml:space="preserve">Teste é teste</t>
  </si>
  <si>
    <t xml:space="preserve">Esse é um teste. Nem todo teste vira produto, mas todo feedback ajuda a construir o próximo.</t>
  </si>
  <si>
    <t xml:space="preserve">Novo sabor chegando! Corre que é por tempo limitado.</t>
  </si>
  <si>
    <t xml:space="preserve">As sete perguntas antes de publicar</t>
  </si>
  <si>
    <t xml:space="preserve">Marque x nas que a peça cumpre. As duas eliminatórias reprovam sozinhas.</t>
  </si>
  <si>
    <t xml:space="preserve">#</t>
  </si>
  <si>
    <t xml:space="preserve">Pergunta</t>
  </si>
  <si>
    <t xml:space="preserve">Eliminatória</t>
  </si>
  <si>
    <t xml:space="preserve">Cumpre? (x)</t>
  </si>
  <si>
    <t xml:space="preserve">Dá vontade de comer antes de explicar o que é?</t>
  </si>
  <si>
    <t xml:space="preserve">A primeira linha fala de prazer, lugar ou processo — e não de atributo?</t>
  </si>
  <si>
    <t xml:space="preserve">Quem fala soa como o Gabriel, e não como marca?</t>
  </si>
  <si>
    <t xml:space="preserve">Todo selo e todo número da peça correspondem à ficha do sabor mostrado?</t>
  </si>
  <si>
    <t xml:space="preserve">O pote e o produto aparecem como são, sem mockup nem retoque de embalagem?</t>
  </si>
  <si>
    <t xml:space="preserve">Tem um pilar claro — colherada, equilíbrio, daqui, oficina ou onde achar?</t>
  </si>
  <si>
    <t xml:space="preserve">Se é teste, está nomeado como teste?</t>
  </si>
  <si>
    <t xml:space="preserve">Veredito</t>
  </si>
  <si>
    <t xml:space="preserve">Conta quantas estão marcadas:</t>
  </si>
  <si>
    <t xml:space="preserve">Medição por ponto — é o que destrava o case de novembro</t>
  </si>
  <si>
    <t xml:space="preserve">Sem estes campos preenchidos desde a instalação não existe conteúdo de case, nem número de giro que possa ir a post. Preencher a cada entrega.</t>
  </si>
  <si>
    <t xml:space="preserve">Ponto</t>
  </si>
  <si>
    <t xml:space="preserve">Bairro</t>
  </si>
  <si>
    <t xml:space="preserve">Data de instalação</t>
  </si>
  <si>
    <t xml:space="preserve">Potes na instalação</t>
  </si>
  <si>
    <t xml:space="preserve">Data da 1ª reposição</t>
  </si>
  <si>
    <t xml:space="preserve">Potes repostos</t>
  </si>
  <si>
    <t xml:space="preserve">Dias até repor</t>
  </si>
  <si>
    <t xml:space="preserve">Três sabores de maior saída</t>
  </si>
  <si>
    <t xml:space="preserve">(exemplo) Empório Coisas de Minas</t>
  </si>
  <si>
    <t xml:space="preserve">Vilas do Atlântico</t>
  </si>
  <si>
    <t xml:space="preserve">Brigadeiro, Torta de Limão, Morango</t>
  </si>
  <si>
    <t xml:space="preserve">Giro médio medido (potes/mês por ponto)</t>
  </si>
  <si>
    <t xml:space="preserve">Só este número pode ir a post. Nunca a referência de 300 potes/mês da proposta.</t>
  </si>
  <si>
    <t xml:space="preserve">Marcos do trimestre</t>
  </si>
  <si>
    <t xml:space="preserve">Quando</t>
  </si>
  <si>
    <t xml:space="preserve">Marco</t>
  </si>
  <si>
    <t xml:space="preserve">O que isso muda no conteúdo</t>
  </si>
  <si>
    <t xml:space="preserve">31/10/2026</t>
  </si>
  <si>
    <t xml:space="preserve">Quatro freezers na rua</t>
  </si>
  <si>
    <t xml:space="preserve">dois a caminho e dois comprados — cada instalação gera uma peça de Onde achar</t>
  </si>
  <si>
    <t xml:space="preserve">A confirmar</t>
  </si>
  <si>
    <t xml:space="preserve">Abertura no iFood</t>
  </si>
  <si>
    <t xml:space="preserve">a peça só vai ao ar no dia em que a loja abrir de fato</t>
  </si>
  <si>
    <t xml:space="preserve">Novembro</t>
  </si>
  <si>
    <t xml:space="preserve">Começam as ativações e eventos</t>
  </si>
  <si>
    <t xml:space="preserve">degustação no copinho de até 60 g, nunca no pote de 150 ml</t>
  </si>
  <si>
    <t xml:space="preserve">Primeiro case de 30 dias</t>
  </si>
  <si>
    <t xml:space="preserve">depende da aba Medição estar preenchida desde a instalação</t>
  </si>
  <si>
    <t xml:space="preserve">Dezembro</t>
  </si>
  <si>
    <t xml:space="preserve">Libera o território 1 (potencial comercial)</t>
  </si>
  <si>
    <t xml:space="preserve">só com 2 a 3 pontos medidos por 60 dias</t>
  </si>
  <si>
    <t xml:space="preserve">Pico de verão no Litoral Norte</t>
  </si>
  <si>
    <t xml:space="preserve">Guarajuba, Itacimirim e Praia do Forte ganham peso no pilar Daqui</t>
  </si>
  <si>
    <t xml:space="preserve">Os cinco pilares e o peso</t>
  </si>
  <si>
    <t xml:space="preserve">Pilar</t>
  </si>
  <si>
    <t xml:space="preserve">Peso</t>
  </si>
  <si>
    <t xml:space="preserve">O que faz</t>
  </si>
  <si>
    <t xml:space="preserve">3 em 10</t>
  </si>
  <si>
    <t xml:space="preserve">Faz desejar antes de explicar: cremosidade, o pote abrindo, a espátula puxando.</t>
  </si>
  <si>
    <t xml:space="preserve">2 em 10</t>
  </si>
  <si>
    <t xml:space="preserve">O pote entrando na rotina sem virar dieta. O atributo entra na última linha.</t>
  </si>
  <si>
    <t xml:space="preserve">Salvador e Litoral Norte com nome próprio, sem clichê turístico.</t>
  </si>
  <si>
    <t xml:space="preserve">Bancada, teste que não deu certo, decisão. Puxado pelo perfil pessoal do Gabriel.</t>
  </si>
  <si>
    <t xml:space="preserve">1 em 10</t>
  </si>
  <si>
    <t xml:space="preserve">Converte: freezer novo, ponto parceiro, iFood, entrega.</t>
  </si>
  <si>
    <t xml:space="preserve">Os seis territórios B2B</t>
  </si>
  <si>
    <t xml:space="preserve">Nº e nome</t>
  </si>
  <si>
    <t xml:space="preserve">1. Potencial comercial</t>
  </si>
  <si>
    <t xml:space="preserve">Espera dado — dezembro</t>
  </si>
  <si>
    <t xml:space="preserve">Quanto esse freezer pode gerar. É o território mais forte, e o único que não se escreve: se mede.</t>
  </si>
  <si>
    <t xml:space="preserve">2. Case real de ponto</t>
  </si>
  <si>
    <t xml:space="preserve">Espera dado — novembro</t>
  </si>
  <si>
    <t xml:space="preserve">Instalação, produto, consumidor, reposição, resultado. A prova comercial pública.</t>
  </si>
  <si>
    <t xml:space="preserve">3. Por que o Beco funciona aqui</t>
  </si>
  <si>
    <t xml:space="preserve">No ar</t>
  </si>
  <si>
    <t xml:space="preserve">Fit entre público, produto e ocasião de consumo, recorte por tipo de estabelecimento.</t>
  </si>
  <si>
    <t xml:space="preserve">4. Operação simples</t>
  </si>
  <si>
    <t xml:space="preserve">Responde à pergunta silenciosa do empresário: vai me dar trabalho?</t>
  </si>
  <si>
    <t xml:space="preserve">5. Desejo no ponto de venda</t>
  </si>
  <si>
    <t xml:space="preserve">Onde B2B e B2C se encontram: o freezer valoriza o ambiente do parceiro.</t>
  </si>
  <si>
    <t xml:space="preserve">6. Demanda e prova social</t>
  </si>
  <si>
    <t xml:space="preserve">Consumidor pegando o pote, freezer esvaziando, gente perguntando onde acha.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</si>
</sst>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661F"/>
      <name val="Arial"/>
      <family val="0"/>
      <charset val="1"/>
    </font>
    <font>
      <sz val="10"/>
      <color rgb="FF565B52"/>
      <name val="Arial"/>
      <family val="0"/>
      <charset val="1"/>
    </font>
    <font>
      <b val="true"/>
      <sz val="11"/>
      <color rgb="FF1A1C19"/>
      <name val="Arial"/>
      <family val="0"/>
      <charset val="1"/>
    </font>
    <font>
      <sz val="10"/>
      <color rgb="FF1A1C19"/>
      <name val="Arial"/>
      <family val="0"/>
      <charset val="1"/>
    </font>
    <font>
      <b val="true"/>
      <sz val="12"/>
      <color rgb="FF4466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A5206"/>
      <name val="Arial"/>
      <family val="0"/>
      <charset val="1"/>
    </font>
    <font>
      <b val="true"/>
      <sz val="13"/>
      <color rgb="FF44661F"/>
      <name val="Arial"/>
      <family val="0"/>
      <charset val="1"/>
    </font>
    <font>
      <b val="true"/>
      <sz val="11"/>
      <color rgb="FF44661F"/>
      <name val="Arial"/>
      <family val="0"/>
      <charset val="1"/>
    </font>
    <font>
      <sz val="10"/>
      <color rgb="FF8A52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4661F"/>
      <name val="Arial"/>
      <family val="0"/>
      <charset val="1"/>
    </font>
    <font>
      <sz val="9"/>
      <color rgb="FF8A52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661F"/>
        <bgColor rgb="FF565B52"/>
      </patternFill>
    </fill>
    <fill>
      <patternFill patternType="solid">
        <fgColor rgb="FFFBF1E1"/>
        <bgColor rgb="FFFAEAE7"/>
      </patternFill>
    </fill>
    <fill>
      <patternFill patternType="solid">
        <fgColor rgb="FFEFF3E6"/>
        <bgColor rgb="FFFBF1E1"/>
      </patternFill>
    </fill>
    <fill>
      <patternFill patternType="solid">
        <fgColor rgb="FFFAEAE7"/>
        <bgColor rgb="FFFBF1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9CE"/>
      </left>
      <right style="thin">
        <color rgb="FFD6D9CE"/>
      </right>
      <top style="thin">
        <color rgb="FFD6D9CE"/>
      </top>
      <bottom style="thin">
        <color rgb="FFD6D9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661F"/>
          <bgColor rgb="FF000000"/>
        </patternFill>
      </fill>
    </dxf>
    <dxf>
      <fill>
        <patternFill patternType="solid">
          <fgColor rgb="FFEFF3E6"/>
          <bgColor rgb="FF000000"/>
        </patternFill>
      </fill>
    </dxf>
    <dxf>
      <fill>
        <patternFill patternType="solid">
          <fgColor rgb="FFFBF1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C1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EA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4661F"/>
      <rgbColor rgb="FF800080"/>
      <rgbColor rgb="FF008080"/>
      <rgbColor rgb="FFC0C0C0"/>
      <rgbColor rgb="FF808080"/>
      <rgbColor rgb="FF9999FF"/>
      <rgbColor rgb="FF993366"/>
      <rgbColor rgb="FFFBF1E1"/>
      <rgbColor rgb="FFEFF3E6"/>
      <rgbColor rgb="FF660066"/>
      <rgbColor rgb="FFFF8080"/>
      <rgbColor rgb="FF0066CC"/>
      <rgbColor rgb="FFD6D9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B52"/>
      <rgbColor rgb="FF969696"/>
      <rgbColor rgb="FF003366"/>
      <rgbColor rgb="FF339966"/>
      <rgbColor rgb="FF003300"/>
      <rgbColor rgb="FF1A1C19"/>
      <rgbColor rgb="FF8A52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7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</row>
    <row r="7" customFormat="false" ht="30" hidden="false" customHeight="true" outlineLevel="0" collapsed="false">
      <c r="A7" s="3" t="s">
        <v>4</v>
      </c>
      <c r="B7" s="4" t="s">
        <v>5</v>
      </c>
      <c r="C7" s="4"/>
      <c r="D7" s="4"/>
      <c r="E7" s="4"/>
      <c r="F7" s="4"/>
      <c r="G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</row>
    <row r="10" customFormat="false" ht="30" hidden="false" customHeight="true" outlineLevel="0" collapsed="false">
      <c r="A10" s="3" t="s">
        <v>6</v>
      </c>
      <c r="B10" s="4" t="s">
        <v>7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</row>
    <row r="13" customFormat="false" ht="30" hidden="false" customHeight="true" outlineLevel="0" collapsed="false">
      <c r="A13" s="3" t="s">
        <v>8</v>
      </c>
      <c r="B13" s="4" t="s">
        <v>9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4"/>
      <c r="C14" s="4"/>
      <c r="D14" s="4"/>
      <c r="E14" s="4"/>
      <c r="F14" s="4"/>
      <c r="G14" s="4"/>
    </row>
    <row r="16" customFormat="false" ht="30" hidden="false" customHeight="true" outlineLevel="0" collapsed="false">
      <c r="A16" s="3" t="s">
        <v>10</v>
      </c>
      <c r="B16" s="4" t="s">
        <v>11</v>
      </c>
      <c r="C16" s="4"/>
      <c r="D16" s="4"/>
      <c r="E16" s="4"/>
      <c r="F16" s="4"/>
      <c r="G16" s="4"/>
    </row>
    <row r="17" customFormat="false" ht="15" hidden="false" customHeight="false" outlineLevel="0" collapsed="false">
      <c r="B17" s="4"/>
      <c r="C17" s="4"/>
      <c r="D17" s="4"/>
      <c r="E17" s="4"/>
      <c r="F17" s="4"/>
      <c r="G17" s="4"/>
    </row>
    <row r="20" customFormat="false" ht="15" hidden="false" customHeight="false" outlineLevel="0" collapsed="false">
      <c r="A20" s="5" t="s">
        <v>12</v>
      </c>
    </row>
    <row r="21" customFormat="false" ht="25.5" hidden="false" customHeight="true" outlineLevel="0" collapsed="false">
      <c r="A21" s="6" t="s">
        <v>13</v>
      </c>
      <c r="B21" s="6" t="s">
        <v>14</v>
      </c>
      <c r="C21" s="6" t="s">
        <v>15</v>
      </c>
      <c r="D21" s="6" t="s">
        <v>16</v>
      </c>
    </row>
    <row r="22" customFormat="false" ht="15" hidden="false" customHeight="false" outlineLevel="0" collapsed="false">
      <c r="A22" s="7" t="s">
        <v>17</v>
      </c>
      <c r="B22" s="7" t="n">
        <f aca="false">COUNTIF(Calendário!D:D,"B2C")</f>
        <v>66</v>
      </c>
      <c r="C22" s="8" t="n">
        <f aca="false">IFERROR(B22/$B$25,0)</f>
        <v>0.66</v>
      </c>
      <c r="D22" s="9" t="s">
        <v>18</v>
      </c>
    </row>
    <row r="23" customFormat="false" ht="15" hidden="false" customHeight="false" outlineLevel="0" collapsed="false">
      <c r="A23" s="7" t="s">
        <v>19</v>
      </c>
      <c r="B23" s="7" t="n">
        <f aca="false">COUNTIF(Calendário!D:D,"Dupla")</f>
        <v>11</v>
      </c>
      <c r="C23" s="8" t="n">
        <f aca="false">IFERROR(B23/$B$25,0)</f>
        <v>0.11</v>
      </c>
      <c r="D23" s="9" t="s">
        <v>20</v>
      </c>
    </row>
    <row r="24" customFormat="false" ht="15" hidden="false" customHeight="false" outlineLevel="0" collapsed="false">
      <c r="A24" s="7" t="s">
        <v>21</v>
      </c>
      <c r="B24" s="7" t="n">
        <f aca="false">COUNTIF(Calendário!D:D,"B2B")</f>
        <v>23</v>
      </c>
      <c r="C24" s="8" t="n">
        <f aca="false">IFERROR(B24/$B$25,0)</f>
        <v>0.23</v>
      </c>
      <c r="D24" s="9" t="s">
        <v>22</v>
      </c>
    </row>
    <row r="25" customFormat="false" ht="15" hidden="false" customHeight="false" outlineLevel="0" collapsed="false">
      <c r="A25" s="7" t="s">
        <v>23</v>
      </c>
      <c r="B25" s="7" t="n">
        <f aca="false">COUNTA(Calendário!A:A)-1</f>
        <v>100</v>
      </c>
      <c r="C25" s="8"/>
      <c r="D25" s="9" t="s">
        <v>24</v>
      </c>
    </row>
    <row r="27" customFormat="false" ht="15" hidden="false" customHeight="false" outlineLevel="0" collapsed="false">
      <c r="A27" s="10" t="s">
        <v>25</v>
      </c>
    </row>
    <row r="28" customFormat="false" ht="25.5" hidden="false" customHeight="true" outlineLevel="0" collapsed="false">
      <c r="A28" s="6" t="s">
        <v>26</v>
      </c>
      <c r="B28" s="6" t="s">
        <v>27</v>
      </c>
      <c r="C28" s="6" t="s">
        <v>28</v>
      </c>
    </row>
    <row r="29" customFormat="false" ht="15" hidden="false" customHeight="false" outlineLevel="0" collapsed="false">
      <c r="A29" s="11" t="s">
        <v>29</v>
      </c>
      <c r="B29" s="11" t="s">
        <v>30</v>
      </c>
      <c r="C29" s="11" t="s">
        <v>31</v>
      </c>
    </row>
  </sheetData>
  <mergeCells count="5">
    <mergeCell ref="B4:G5"/>
    <mergeCell ref="B7:G8"/>
    <mergeCell ref="B10:G11"/>
    <mergeCell ref="B13:G14"/>
    <mergeCell ref="B16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52"/>
    <col collapsed="false" customWidth="true" hidden="false" outlineLevel="0" max="10" min="9" style="0" width="14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26</v>
      </c>
      <c r="J1" s="6" t="s">
        <v>27</v>
      </c>
      <c r="K1" s="6" t="s">
        <v>28</v>
      </c>
    </row>
    <row r="2" customFormat="false" ht="30" hidden="false" customHeight="true" outlineLevel="0" collapsed="false">
      <c r="A2" s="12" t="n">
        <v>46310</v>
      </c>
      <c r="B2" s="11" t="n">
        <v>1</v>
      </c>
      <c r="C2" s="11" t="s">
        <v>40</v>
      </c>
      <c r="D2" s="11" t="s">
        <v>41</v>
      </c>
      <c r="E2" s="13" t="s">
        <v>42</v>
      </c>
      <c r="F2" s="13" t="s">
        <v>43</v>
      </c>
      <c r="G2" s="13" t="s">
        <v>44</v>
      </c>
      <c r="H2" s="13" t="s">
        <v>45</v>
      </c>
      <c r="I2" s="11" t="s">
        <v>46</v>
      </c>
      <c r="J2" s="11"/>
      <c r="K2" s="11"/>
    </row>
    <row r="3" customFormat="false" ht="30" hidden="false" customHeight="true" outlineLevel="0" collapsed="false">
      <c r="A3" s="14" t="n">
        <v>46311</v>
      </c>
      <c r="B3" s="7" t="n">
        <v>1</v>
      </c>
      <c r="C3" s="7" t="s">
        <v>47</v>
      </c>
      <c r="D3" s="7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7" t="s">
        <v>46</v>
      </c>
      <c r="J3" s="7"/>
      <c r="K3" s="7"/>
    </row>
    <row r="4" customFormat="false" ht="30" hidden="false" customHeight="true" outlineLevel="0" collapsed="false">
      <c r="A4" s="14" t="n">
        <v>46312</v>
      </c>
      <c r="B4" s="7" t="n">
        <v>1</v>
      </c>
      <c r="C4" s="7" t="s">
        <v>53</v>
      </c>
      <c r="D4" s="7" t="s">
        <v>48</v>
      </c>
      <c r="E4" s="9" t="s">
        <v>54</v>
      </c>
      <c r="F4" s="9" t="s">
        <v>55</v>
      </c>
      <c r="G4" s="9" t="s">
        <v>56</v>
      </c>
      <c r="H4" s="9" t="s">
        <v>57</v>
      </c>
      <c r="I4" s="7" t="s">
        <v>46</v>
      </c>
      <c r="J4" s="7"/>
      <c r="K4" s="7"/>
    </row>
    <row r="5" customFormat="false" ht="30" hidden="false" customHeight="true" outlineLevel="0" collapsed="false">
      <c r="A5" s="15" t="n">
        <v>46312</v>
      </c>
      <c r="B5" s="16" t="n">
        <v>1</v>
      </c>
      <c r="C5" s="16" t="s">
        <v>53</v>
      </c>
      <c r="D5" s="16" t="s">
        <v>58</v>
      </c>
      <c r="E5" s="17" t="s">
        <v>19</v>
      </c>
      <c r="F5" s="17" t="s">
        <v>59</v>
      </c>
      <c r="G5" s="17" t="s">
        <v>60</v>
      </c>
      <c r="H5" s="17" t="s">
        <v>61</v>
      </c>
      <c r="I5" s="16" t="s">
        <v>46</v>
      </c>
      <c r="J5" s="16"/>
      <c r="K5" s="16"/>
    </row>
    <row r="6" customFormat="false" ht="30" hidden="false" customHeight="true" outlineLevel="0" collapsed="false">
      <c r="A6" s="14" t="n">
        <v>46313</v>
      </c>
      <c r="B6" s="7" t="n">
        <v>1</v>
      </c>
      <c r="C6" s="7" t="s">
        <v>62</v>
      </c>
      <c r="D6" s="7" t="s">
        <v>48</v>
      </c>
      <c r="E6" s="9" t="s">
        <v>63</v>
      </c>
      <c r="F6" s="9" t="s">
        <v>64</v>
      </c>
      <c r="G6" s="9" t="s">
        <v>65</v>
      </c>
      <c r="H6" s="9" t="s">
        <v>66</v>
      </c>
      <c r="I6" s="7" t="s">
        <v>46</v>
      </c>
      <c r="J6" s="7"/>
      <c r="K6" s="7"/>
    </row>
    <row r="7" customFormat="false" ht="30" hidden="false" customHeight="true" outlineLevel="0" collapsed="false">
      <c r="A7" s="14" t="n">
        <v>46313</v>
      </c>
      <c r="B7" s="7" t="n">
        <v>1</v>
      </c>
      <c r="C7" s="7" t="s">
        <v>62</v>
      </c>
      <c r="D7" s="7" t="s">
        <v>48</v>
      </c>
      <c r="E7" s="9" t="s">
        <v>67</v>
      </c>
      <c r="F7" s="9" t="s">
        <v>68</v>
      </c>
      <c r="G7" s="9" t="s">
        <v>69</v>
      </c>
      <c r="H7" s="9" t="s">
        <v>70</v>
      </c>
      <c r="I7" s="7" t="s">
        <v>46</v>
      </c>
      <c r="J7" s="7"/>
      <c r="K7" s="7"/>
    </row>
    <row r="8" customFormat="false" ht="30" hidden="false" customHeight="true" outlineLevel="0" collapsed="false">
      <c r="A8" s="12" t="n">
        <v>46314</v>
      </c>
      <c r="B8" s="11" t="n">
        <v>2</v>
      </c>
      <c r="C8" s="11" t="s">
        <v>71</v>
      </c>
      <c r="D8" s="11" t="s">
        <v>41</v>
      </c>
      <c r="E8" s="13" t="s">
        <v>72</v>
      </c>
      <c r="F8" s="13" t="s">
        <v>73</v>
      </c>
      <c r="G8" s="13" t="s">
        <v>74</v>
      </c>
      <c r="H8" s="13" t="s">
        <v>75</v>
      </c>
      <c r="I8" s="11" t="s">
        <v>46</v>
      </c>
      <c r="J8" s="11"/>
      <c r="K8" s="11"/>
    </row>
    <row r="9" customFormat="false" ht="30" hidden="false" customHeight="true" outlineLevel="0" collapsed="false">
      <c r="A9" s="14" t="n">
        <v>46315</v>
      </c>
      <c r="B9" s="7" t="n">
        <v>2</v>
      </c>
      <c r="C9" s="7" t="s">
        <v>76</v>
      </c>
      <c r="D9" s="7" t="s">
        <v>48</v>
      </c>
      <c r="E9" s="9" t="s">
        <v>54</v>
      </c>
      <c r="F9" s="9" t="s">
        <v>77</v>
      </c>
      <c r="G9" s="9" t="s">
        <v>78</v>
      </c>
      <c r="H9" s="9" t="s">
        <v>79</v>
      </c>
      <c r="I9" s="7" t="s">
        <v>46</v>
      </c>
      <c r="J9" s="7"/>
      <c r="K9" s="7"/>
    </row>
    <row r="10" customFormat="false" ht="30" hidden="false" customHeight="true" outlineLevel="0" collapsed="false">
      <c r="A10" s="14" t="n">
        <v>46316</v>
      </c>
      <c r="B10" s="7" t="n">
        <v>2</v>
      </c>
      <c r="C10" s="7" t="s">
        <v>80</v>
      </c>
      <c r="D10" s="7" t="s">
        <v>48</v>
      </c>
      <c r="E10" s="9" t="s">
        <v>81</v>
      </c>
      <c r="F10" s="9" t="s">
        <v>59</v>
      </c>
      <c r="G10" s="9" t="s">
        <v>82</v>
      </c>
      <c r="H10" s="9" t="s">
        <v>83</v>
      </c>
      <c r="I10" s="7" t="s">
        <v>46</v>
      </c>
      <c r="J10" s="7"/>
      <c r="K10" s="7"/>
    </row>
    <row r="11" customFormat="false" ht="30" hidden="false" customHeight="true" outlineLevel="0" collapsed="false">
      <c r="A11" s="12" t="n">
        <v>46317</v>
      </c>
      <c r="B11" s="11" t="n">
        <v>2</v>
      </c>
      <c r="C11" s="11" t="s">
        <v>40</v>
      </c>
      <c r="D11" s="11" t="s">
        <v>41</v>
      </c>
      <c r="E11" s="13" t="s">
        <v>84</v>
      </c>
      <c r="F11" s="13" t="s">
        <v>85</v>
      </c>
      <c r="G11" s="13" t="s">
        <v>86</v>
      </c>
      <c r="H11" s="13" t="s">
        <v>87</v>
      </c>
      <c r="I11" s="11" t="s">
        <v>46</v>
      </c>
      <c r="J11" s="11"/>
      <c r="K11" s="11"/>
    </row>
    <row r="12" customFormat="false" ht="30" hidden="false" customHeight="true" outlineLevel="0" collapsed="false">
      <c r="A12" s="14" t="n">
        <v>46318</v>
      </c>
      <c r="B12" s="7" t="n">
        <v>2</v>
      </c>
      <c r="C12" s="7" t="s">
        <v>47</v>
      </c>
      <c r="D12" s="7" t="s">
        <v>48</v>
      </c>
      <c r="E12" s="9" t="s">
        <v>49</v>
      </c>
      <c r="F12" s="9" t="s">
        <v>50</v>
      </c>
      <c r="G12" s="9" t="s">
        <v>88</v>
      </c>
      <c r="H12" s="9" t="s">
        <v>89</v>
      </c>
      <c r="I12" s="7" t="s">
        <v>46</v>
      </c>
      <c r="J12" s="7"/>
      <c r="K12" s="7"/>
    </row>
    <row r="13" customFormat="false" ht="30" hidden="false" customHeight="true" outlineLevel="0" collapsed="false">
      <c r="A13" s="14" t="n">
        <v>46319</v>
      </c>
      <c r="B13" s="7" t="n">
        <v>2</v>
      </c>
      <c r="C13" s="7" t="s">
        <v>53</v>
      </c>
      <c r="D13" s="7" t="s">
        <v>48</v>
      </c>
      <c r="E13" s="9" t="s">
        <v>54</v>
      </c>
      <c r="F13" s="9" t="s">
        <v>90</v>
      </c>
      <c r="G13" s="9" t="s">
        <v>91</v>
      </c>
      <c r="H13" s="9" t="s">
        <v>92</v>
      </c>
      <c r="I13" s="7" t="s">
        <v>46</v>
      </c>
      <c r="J13" s="7"/>
      <c r="K13" s="7"/>
    </row>
    <row r="14" customFormat="false" ht="30" hidden="false" customHeight="true" outlineLevel="0" collapsed="false">
      <c r="A14" s="15" t="n">
        <v>46319</v>
      </c>
      <c r="B14" s="16" t="n">
        <v>2</v>
      </c>
      <c r="C14" s="16" t="s">
        <v>53</v>
      </c>
      <c r="D14" s="16" t="s">
        <v>58</v>
      </c>
      <c r="E14" s="17" t="s">
        <v>19</v>
      </c>
      <c r="F14" s="17" t="s">
        <v>93</v>
      </c>
      <c r="G14" s="17" t="s">
        <v>94</v>
      </c>
      <c r="H14" s="17" t="s">
        <v>95</v>
      </c>
      <c r="I14" s="16" t="s">
        <v>46</v>
      </c>
      <c r="J14" s="16"/>
      <c r="K14" s="16"/>
    </row>
    <row r="15" customFormat="false" ht="30" hidden="false" customHeight="true" outlineLevel="0" collapsed="false">
      <c r="A15" s="14" t="n">
        <v>46320</v>
      </c>
      <c r="B15" s="7" t="n">
        <v>2</v>
      </c>
      <c r="C15" s="7" t="s">
        <v>62</v>
      </c>
      <c r="D15" s="7" t="s">
        <v>48</v>
      </c>
      <c r="E15" s="9" t="s">
        <v>63</v>
      </c>
      <c r="F15" s="9" t="s">
        <v>96</v>
      </c>
      <c r="G15" s="9" t="s">
        <v>97</v>
      </c>
      <c r="H15" s="9" t="s">
        <v>98</v>
      </c>
      <c r="I15" s="7" t="s">
        <v>46</v>
      </c>
      <c r="J15" s="7"/>
      <c r="K15" s="7"/>
    </row>
    <row r="16" customFormat="false" ht="30" hidden="false" customHeight="true" outlineLevel="0" collapsed="false">
      <c r="A16" s="14" t="n">
        <v>46320</v>
      </c>
      <c r="B16" s="7" t="n">
        <v>2</v>
      </c>
      <c r="C16" s="7" t="s">
        <v>62</v>
      </c>
      <c r="D16" s="7" t="s">
        <v>48</v>
      </c>
      <c r="E16" s="9" t="s">
        <v>67</v>
      </c>
      <c r="F16" s="9" t="s">
        <v>99</v>
      </c>
      <c r="G16" s="9" t="s">
        <v>100</v>
      </c>
      <c r="H16" s="9" t="s">
        <v>101</v>
      </c>
      <c r="I16" s="7" t="s">
        <v>46</v>
      </c>
      <c r="J16" s="7"/>
      <c r="K16" s="7"/>
    </row>
    <row r="17" customFormat="false" ht="30" hidden="false" customHeight="true" outlineLevel="0" collapsed="false">
      <c r="A17" s="12" t="n">
        <v>46321</v>
      </c>
      <c r="B17" s="11" t="n">
        <v>3</v>
      </c>
      <c r="C17" s="11" t="s">
        <v>71</v>
      </c>
      <c r="D17" s="11" t="s">
        <v>41</v>
      </c>
      <c r="E17" s="13" t="s">
        <v>72</v>
      </c>
      <c r="F17" s="13" t="s">
        <v>102</v>
      </c>
      <c r="G17" s="13" t="s">
        <v>103</v>
      </c>
      <c r="H17" s="13" t="s">
        <v>104</v>
      </c>
      <c r="I17" s="11" t="s">
        <v>46</v>
      </c>
      <c r="J17" s="11"/>
      <c r="K17" s="11"/>
    </row>
    <row r="18" customFormat="false" ht="30" hidden="false" customHeight="true" outlineLevel="0" collapsed="false">
      <c r="A18" s="14" t="n">
        <v>46322</v>
      </c>
      <c r="B18" s="7" t="n">
        <v>3</v>
      </c>
      <c r="C18" s="7" t="s">
        <v>76</v>
      </c>
      <c r="D18" s="7" t="s">
        <v>48</v>
      </c>
      <c r="E18" s="9" t="s">
        <v>54</v>
      </c>
      <c r="F18" s="9" t="s">
        <v>105</v>
      </c>
      <c r="G18" s="9" t="s">
        <v>106</v>
      </c>
      <c r="H18" s="9" t="s">
        <v>107</v>
      </c>
      <c r="I18" s="7" t="s">
        <v>46</v>
      </c>
      <c r="J18" s="7"/>
      <c r="K18" s="7"/>
    </row>
    <row r="19" customFormat="false" ht="30" hidden="false" customHeight="true" outlineLevel="0" collapsed="false">
      <c r="A19" s="14" t="n">
        <v>46323</v>
      </c>
      <c r="B19" s="7" t="n">
        <v>3</v>
      </c>
      <c r="C19" s="7" t="s">
        <v>80</v>
      </c>
      <c r="D19" s="7" t="s">
        <v>48</v>
      </c>
      <c r="E19" s="9" t="s">
        <v>81</v>
      </c>
      <c r="F19" s="9" t="s">
        <v>108</v>
      </c>
      <c r="G19" s="9" t="s">
        <v>109</v>
      </c>
      <c r="H19" s="9" t="s">
        <v>110</v>
      </c>
      <c r="I19" s="7" t="s">
        <v>46</v>
      </c>
      <c r="J19" s="7"/>
      <c r="K19" s="7"/>
    </row>
    <row r="20" customFormat="false" ht="30" hidden="false" customHeight="true" outlineLevel="0" collapsed="false">
      <c r="A20" s="12" t="n">
        <v>46324</v>
      </c>
      <c r="B20" s="11" t="n">
        <v>3</v>
      </c>
      <c r="C20" s="11" t="s">
        <v>40</v>
      </c>
      <c r="D20" s="11" t="s">
        <v>41</v>
      </c>
      <c r="E20" s="13" t="s">
        <v>42</v>
      </c>
      <c r="F20" s="13" t="s">
        <v>59</v>
      </c>
      <c r="G20" s="13" t="s">
        <v>111</v>
      </c>
      <c r="H20" s="13" t="s">
        <v>112</v>
      </c>
      <c r="I20" s="11" t="s">
        <v>46</v>
      </c>
      <c r="J20" s="11"/>
      <c r="K20" s="11"/>
    </row>
    <row r="21" customFormat="false" ht="30" hidden="false" customHeight="true" outlineLevel="0" collapsed="false">
      <c r="A21" s="14" t="n">
        <v>46325</v>
      </c>
      <c r="B21" s="7" t="n">
        <v>3</v>
      </c>
      <c r="C21" s="7" t="s">
        <v>47</v>
      </c>
      <c r="D21" s="7" t="s">
        <v>48</v>
      </c>
      <c r="E21" s="9" t="s">
        <v>49</v>
      </c>
      <c r="F21" s="9" t="s">
        <v>108</v>
      </c>
      <c r="G21" s="9" t="s">
        <v>113</v>
      </c>
      <c r="H21" s="9" t="s">
        <v>114</v>
      </c>
      <c r="I21" s="7" t="s">
        <v>46</v>
      </c>
      <c r="J21" s="7"/>
      <c r="K21" s="7"/>
    </row>
    <row r="22" customFormat="false" ht="30" hidden="false" customHeight="true" outlineLevel="0" collapsed="false">
      <c r="A22" s="14" t="n">
        <v>46326</v>
      </c>
      <c r="B22" s="7" t="n">
        <v>3</v>
      </c>
      <c r="C22" s="7" t="s">
        <v>53</v>
      </c>
      <c r="D22" s="7" t="s">
        <v>48</v>
      </c>
      <c r="E22" s="9" t="s">
        <v>54</v>
      </c>
      <c r="F22" s="9" t="s">
        <v>90</v>
      </c>
      <c r="G22" s="9" t="s">
        <v>115</v>
      </c>
      <c r="H22" s="9" t="s">
        <v>116</v>
      </c>
      <c r="I22" s="7" t="s">
        <v>46</v>
      </c>
      <c r="J22" s="7"/>
      <c r="K22" s="7"/>
    </row>
    <row r="23" customFormat="false" ht="30" hidden="false" customHeight="true" outlineLevel="0" collapsed="false">
      <c r="A23" s="15" t="n">
        <v>46326</v>
      </c>
      <c r="B23" s="16" t="n">
        <v>3</v>
      </c>
      <c r="C23" s="16" t="s">
        <v>53</v>
      </c>
      <c r="D23" s="16" t="s">
        <v>58</v>
      </c>
      <c r="E23" s="17" t="s">
        <v>19</v>
      </c>
      <c r="F23" s="17" t="s">
        <v>117</v>
      </c>
      <c r="G23" s="17" t="s">
        <v>118</v>
      </c>
      <c r="H23" s="17" t="s">
        <v>119</v>
      </c>
      <c r="I23" s="16" t="s">
        <v>46</v>
      </c>
      <c r="J23" s="16"/>
      <c r="K23" s="16"/>
    </row>
    <row r="24" customFormat="false" ht="30" hidden="false" customHeight="true" outlineLevel="0" collapsed="false">
      <c r="A24" s="14" t="n">
        <v>46327</v>
      </c>
      <c r="B24" s="7" t="n">
        <v>3</v>
      </c>
      <c r="C24" s="7" t="s">
        <v>62</v>
      </c>
      <c r="D24" s="7" t="s">
        <v>48</v>
      </c>
      <c r="E24" s="9" t="s">
        <v>63</v>
      </c>
      <c r="F24" s="9" t="s">
        <v>85</v>
      </c>
      <c r="G24" s="9" t="s">
        <v>120</v>
      </c>
      <c r="H24" s="9" t="s">
        <v>121</v>
      </c>
      <c r="I24" s="7" t="s">
        <v>46</v>
      </c>
      <c r="J24" s="7"/>
      <c r="K24" s="7"/>
    </row>
    <row r="25" customFormat="false" ht="30" hidden="false" customHeight="true" outlineLevel="0" collapsed="false">
      <c r="A25" s="14" t="n">
        <v>46327</v>
      </c>
      <c r="B25" s="7" t="n">
        <v>3</v>
      </c>
      <c r="C25" s="7" t="s">
        <v>62</v>
      </c>
      <c r="D25" s="7" t="s">
        <v>48</v>
      </c>
      <c r="E25" s="9" t="s">
        <v>67</v>
      </c>
      <c r="F25" s="9" t="s">
        <v>122</v>
      </c>
      <c r="G25" s="9" t="s">
        <v>123</v>
      </c>
      <c r="H25" s="9" t="s">
        <v>124</v>
      </c>
      <c r="I25" s="7" t="s">
        <v>46</v>
      </c>
      <c r="J25" s="7"/>
      <c r="K25" s="7"/>
    </row>
    <row r="26" customFormat="false" ht="30" hidden="false" customHeight="true" outlineLevel="0" collapsed="false">
      <c r="A26" s="12" t="n">
        <v>46328</v>
      </c>
      <c r="B26" s="11" t="n">
        <v>4</v>
      </c>
      <c r="C26" s="11" t="s">
        <v>71</v>
      </c>
      <c r="D26" s="11" t="s">
        <v>41</v>
      </c>
      <c r="E26" s="13" t="s">
        <v>72</v>
      </c>
      <c r="F26" s="13" t="s">
        <v>125</v>
      </c>
      <c r="G26" s="13" t="s">
        <v>126</v>
      </c>
      <c r="H26" s="13" t="s">
        <v>127</v>
      </c>
      <c r="I26" s="11" t="s">
        <v>46</v>
      </c>
      <c r="J26" s="11"/>
      <c r="K26" s="11"/>
    </row>
    <row r="27" customFormat="false" ht="30" hidden="false" customHeight="true" outlineLevel="0" collapsed="false">
      <c r="A27" s="14" t="n">
        <v>46329</v>
      </c>
      <c r="B27" s="7" t="n">
        <v>4</v>
      </c>
      <c r="C27" s="7" t="s">
        <v>76</v>
      </c>
      <c r="D27" s="7" t="s">
        <v>48</v>
      </c>
      <c r="E27" s="9" t="s">
        <v>54</v>
      </c>
      <c r="F27" s="9" t="s">
        <v>128</v>
      </c>
      <c r="G27" s="9" t="s">
        <v>129</v>
      </c>
      <c r="H27" s="9" t="s">
        <v>130</v>
      </c>
      <c r="I27" s="7" t="s">
        <v>46</v>
      </c>
      <c r="J27" s="7"/>
      <c r="K27" s="7"/>
    </row>
    <row r="28" customFormat="false" ht="30" hidden="false" customHeight="true" outlineLevel="0" collapsed="false">
      <c r="A28" s="14" t="n">
        <v>46330</v>
      </c>
      <c r="B28" s="7" t="n">
        <v>4</v>
      </c>
      <c r="C28" s="7" t="s">
        <v>80</v>
      </c>
      <c r="D28" s="7" t="s">
        <v>48</v>
      </c>
      <c r="E28" s="9" t="s">
        <v>81</v>
      </c>
      <c r="F28" s="9" t="s">
        <v>108</v>
      </c>
      <c r="G28" s="9" t="s">
        <v>131</v>
      </c>
      <c r="H28" s="9" t="s">
        <v>132</v>
      </c>
      <c r="I28" s="7" t="s">
        <v>46</v>
      </c>
      <c r="J28" s="7"/>
      <c r="K28" s="7"/>
    </row>
    <row r="29" customFormat="false" ht="30" hidden="false" customHeight="true" outlineLevel="0" collapsed="false">
      <c r="A29" s="12" t="n">
        <v>46331</v>
      </c>
      <c r="B29" s="11" t="n">
        <v>4</v>
      </c>
      <c r="C29" s="11" t="s">
        <v>40</v>
      </c>
      <c r="D29" s="11" t="s">
        <v>41</v>
      </c>
      <c r="E29" s="13" t="s">
        <v>133</v>
      </c>
      <c r="F29" s="13" t="s">
        <v>85</v>
      </c>
      <c r="G29" s="13" t="s">
        <v>134</v>
      </c>
      <c r="H29" s="13" t="s">
        <v>135</v>
      </c>
      <c r="I29" s="11" t="s">
        <v>46</v>
      </c>
      <c r="J29" s="11"/>
      <c r="K29" s="11"/>
    </row>
    <row r="30" customFormat="false" ht="30" hidden="false" customHeight="true" outlineLevel="0" collapsed="false">
      <c r="A30" s="14" t="n">
        <v>46332</v>
      </c>
      <c r="B30" s="7" t="n">
        <v>4</v>
      </c>
      <c r="C30" s="7" t="s">
        <v>47</v>
      </c>
      <c r="D30" s="7" t="s">
        <v>48</v>
      </c>
      <c r="E30" s="9" t="s">
        <v>49</v>
      </c>
      <c r="F30" s="9" t="s">
        <v>136</v>
      </c>
      <c r="G30" s="9" t="s">
        <v>137</v>
      </c>
      <c r="H30" s="9" t="s">
        <v>138</v>
      </c>
      <c r="I30" s="7" t="s">
        <v>46</v>
      </c>
      <c r="J30" s="7"/>
      <c r="K30" s="7"/>
    </row>
    <row r="31" customFormat="false" ht="30" hidden="false" customHeight="true" outlineLevel="0" collapsed="false">
      <c r="A31" s="14" t="n">
        <v>46333</v>
      </c>
      <c r="B31" s="7" t="n">
        <v>4</v>
      </c>
      <c r="C31" s="7" t="s">
        <v>53</v>
      </c>
      <c r="D31" s="7" t="s">
        <v>48</v>
      </c>
      <c r="E31" s="9" t="s">
        <v>54</v>
      </c>
      <c r="F31" s="9" t="s">
        <v>55</v>
      </c>
      <c r="G31" s="9" t="s">
        <v>139</v>
      </c>
      <c r="H31" s="9" t="s">
        <v>140</v>
      </c>
      <c r="I31" s="7" t="s">
        <v>46</v>
      </c>
      <c r="J31" s="7"/>
      <c r="K31" s="7"/>
    </row>
    <row r="32" customFormat="false" ht="30" hidden="false" customHeight="true" outlineLevel="0" collapsed="false">
      <c r="A32" s="15" t="n">
        <v>46333</v>
      </c>
      <c r="B32" s="16" t="n">
        <v>4</v>
      </c>
      <c r="C32" s="16" t="s">
        <v>53</v>
      </c>
      <c r="D32" s="16" t="s">
        <v>58</v>
      </c>
      <c r="E32" s="17" t="s">
        <v>19</v>
      </c>
      <c r="F32" s="17" t="s">
        <v>59</v>
      </c>
      <c r="G32" s="17" t="s">
        <v>60</v>
      </c>
      <c r="H32" s="17" t="s">
        <v>61</v>
      </c>
      <c r="I32" s="16" t="s">
        <v>46</v>
      </c>
      <c r="J32" s="16"/>
      <c r="K32" s="16"/>
    </row>
    <row r="33" customFormat="false" ht="30" hidden="false" customHeight="true" outlineLevel="0" collapsed="false">
      <c r="A33" s="14" t="n">
        <v>46334</v>
      </c>
      <c r="B33" s="7" t="n">
        <v>4</v>
      </c>
      <c r="C33" s="7" t="s">
        <v>62</v>
      </c>
      <c r="D33" s="7" t="s">
        <v>48</v>
      </c>
      <c r="E33" s="9" t="s">
        <v>63</v>
      </c>
      <c r="F33" s="9" t="s">
        <v>141</v>
      </c>
      <c r="G33" s="9" t="s">
        <v>142</v>
      </c>
      <c r="H33" s="9" t="s">
        <v>143</v>
      </c>
      <c r="I33" s="7" t="s">
        <v>46</v>
      </c>
      <c r="J33" s="7"/>
      <c r="K33" s="7"/>
    </row>
    <row r="34" customFormat="false" ht="30" hidden="false" customHeight="true" outlineLevel="0" collapsed="false">
      <c r="A34" s="14" t="n">
        <v>46334</v>
      </c>
      <c r="B34" s="7" t="n">
        <v>4</v>
      </c>
      <c r="C34" s="7" t="s">
        <v>62</v>
      </c>
      <c r="D34" s="7" t="s">
        <v>48</v>
      </c>
      <c r="E34" s="9" t="s">
        <v>67</v>
      </c>
      <c r="F34" s="9" t="s">
        <v>144</v>
      </c>
      <c r="G34" s="9" t="s">
        <v>145</v>
      </c>
      <c r="H34" s="9" t="s">
        <v>146</v>
      </c>
      <c r="I34" s="7" t="s">
        <v>46</v>
      </c>
      <c r="J34" s="7"/>
      <c r="K34" s="7"/>
    </row>
    <row r="35" customFormat="false" ht="30" hidden="false" customHeight="true" outlineLevel="0" collapsed="false">
      <c r="A35" s="12" t="n">
        <v>46335</v>
      </c>
      <c r="B35" s="11" t="n">
        <v>5</v>
      </c>
      <c r="C35" s="11" t="s">
        <v>71</v>
      </c>
      <c r="D35" s="11" t="s">
        <v>41</v>
      </c>
      <c r="E35" s="13" t="s">
        <v>72</v>
      </c>
      <c r="F35" s="13" t="s">
        <v>73</v>
      </c>
      <c r="G35" s="13" t="s">
        <v>74</v>
      </c>
      <c r="H35" s="13" t="s">
        <v>75</v>
      </c>
      <c r="I35" s="11" t="s">
        <v>46</v>
      </c>
      <c r="J35" s="11"/>
      <c r="K35" s="11"/>
    </row>
    <row r="36" customFormat="false" ht="30" hidden="false" customHeight="true" outlineLevel="0" collapsed="false">
      <c r="A36" s="14" t="n">
        <v>46336</v>
      </c>
      <c r="B36" s="7" t="n">
        <v>5</v>
      </c>
      <c r="C36" s="7" t="s">
        <v>76</v>
      </c>
      <c r="D36" s="7" t="s">
        <v>48</v>
      </c>
      <c r="E36" s="9" t="s">
        <v>54</v>
      </c>
      <c r="F36" s="9" t="s">
        <v>147</v>
      </c>
      <c r="G36" s="9" t="s">
        <v>148</v>
      </c>
      <c r="H36" s="9" t="s">
        <v>149</v>
      </c>
      <c r="I36" s="7" t="s">
        <v>46</v>
      </c>
      <c r="J36" s="7"/>
      <c r="K36" s="7"/>
    </row>
    <row r="37" customFormat="false" ht="30" hidden="false" customHeight="true" outlineLevel="0" collapsed="false">
      <c r="A37" s="14" t="n">
        <v>46337</v>
      </c>
      <c r="B37" s="7" t="n">
        <v>5</v>
      </c>
      <c r="C37" s="7" t="s">
        <v>80</v>
      </c>
      <c r="D37" s="7" t="s">
        <v>48</v>
      </c>
      <c r="E37" s="9" t="s">
        <v>81</v>
      </c>
      <c r="F37" s="9" t="s">
        <v>122</v>
      </c>
      <c r="G37" s="9" t="s">
        <v>150</v>
      </c>
      <c r="H37" s="9" t="s">
        <v>151</v>
      </c>
      <c r="I37" s="7" t="s">
        <v>46</v>
      </c>
      <c r="J37" s="7"/>
      <c r="K37" s="7"/>
    </row>
    <row r="38" customFormat="false" ht="30" hidden="false" customHeight="true" outlineLevel="0" collapsed="false">
      <c r="A38" s="12" t="n">
        <v>46338</v>
      </c>
      <c r="B38" s="11" t="n">
        <v>5</v>
      </c>
      <c r="C38" s="11" t="s">
        <v>40</v>
      </c>
      <c r="D38" s="11" t="s">
        <v>41</v>
      </c>
      <c r="E38" s="13" t="s">
        <v>152</v>
      </c>
      <c r="F38" s="13" t="s">
        <v>105</v>
      </c>
      <c r="G38" s="13" t="s">
        <v>153</v>
      </c>
      <c r="H38" s="13" t="s">
        <v>154</v>
      </c>
      <c r="I38" s="11" t="s">
        <v>46</v>
      </c>
      <c r="J38" s="11"/>
      <c r="K38" s="11"/>
    </row>
    <row r="39" customFormat="false" ht="30" hidden="false" customHeight="true" outlineLevel="0" collapsed="false">
      <c r="A39" s="14" t="n">
        <v>46339</v>
      </c>
      <c r="B39" s="7" t="n">
        <v>5</v>
      </c>
      <c r="C39" s="7" t="s">
        <v>47</v>
      </c>
      <c r="D39" s="7" t="s">
        <v>48</v>
      </c>
      <c r="E39" s="9" t="s">
        <v>49</v>
      </c>
      <c r="F39" s="9" t="s">
        <v>50</v>
      </c>
      <c r="G39" s="9" t="s">
        <v>155</v>
      </c>
      <c r="H39" s="9" t="s">
        <v>156</v>
      </c>
      <c r="I39" s="7" t="s">
        <v>46</v>
      </c>
      <c r="J39" s="7"/>
      <c r="K39" s="7"/>
    </row>
    <row r="40" customFormat="false" ht="30" hidden="false" customHeight="true" outlineLevel="0" collapsed="false">
      <c r="A40" s="14" t="n">
        <v>46340</v>
      </c>
      <c r="B40" s="7" t="n">
        <v>5</v>
      </c>
      <c r="C40" s="7" t="s">
        <v>53</v>
      </c>
      <c r="D40" s="7" t="s">
        <v>48</v>
      </c>
      <c r="E40" s="9" t="s">
        <v>54</v>
      </c>
      <c r="F40" s="9" t="s">
        <v>55</v>
      </c>
      <c r="G40" s="9" t="s">
        <v>157</v>
      </c>
      <c r="H40" s="9" t="s">
        <v>158</v>
      </c>
      <c r="I40" s="7" t="s">
        <v>46</v>
      </c>
      <c r="J40" s="7"/>
      <c r="K40" s="7"/>
    </row>
    <row r="41" customFormat="false" ht="30" hidden="false" customHeight="true" outlineLevel="0" collapsed="false">
      <c r="A41" s="15" t="n">
        <v>46340</v>
      </c>
      <c r="B41" s="16" t="n">
        <v>5</v>
      </c>
      <c r="C41" s="16" t="s">
        <v>53</v>
      </c>
      <c r="D41" s="16" t="s">
        <v>58</v>
      </c>
      <c r="E41" s="17" t="s">
        <v>19</v>
      </c>
      <c r="F41" s="17" t="s">
        <v>93</v>
      </c>
      <c r="G41" s="17" t="s">
        <v>94</v>
      </c>
      <c r="H41" s="17" t="s">
        <v>95</v>
      </c>
      <c r="I41" s="16" t="s">
        <v>46</v>
      </c>
      <c r="J41" s="16"/>
      <c r="K41" s="16"/>
    </row>
    <row r="42" customFormat="false" ht="30" hidden="false" customHeight="true" outlineLevel="0" collapsed="false">
      <c r="A42" s="14" t="n">
        <v>46341</v>
      </c>
      <c r="B42" s="7" t="n">
        <v>5</v>
      </c>
      <c r="C42" s="7" t="s">
        <v>62</v>
      </c>
      <c r="D42" s="7" t="s">
        <v>48</v>
      </c>
      <c r="E42" s="9" t="s">
        <v>63</v>
      </c>
      <c r="F42" s="9" t="s">
        <v>159</v>
      </c>
      <c r="G42" s="9" t="s">
        <v>160</v>
      </c>
      <c r="H42" s="9" t="s">
        <v>161</v>
      </c>
      <c r="I42" s="7" t="s">
        <v>46</v>
      </c>
      <c r="J42" s="7"/>
      <c r="K42" s="7"/>
    </row>
    <row r="43" customFormat="false" ht="30" hidden="false" customHeight="true" outlineLevel="0" collapsed="false">
      <c r="A43" s="14" t="n">
        <v>46341</v>
      </c>
      <c r="B43" s="7" t="n">
        <v>5</v>
      </c>
      <c r="C43" s="7" t="s">
        <v>62</v>
      </c>
      <c r="D43" s="7" t="s">
        <v>48</v>
      </c>
      <c r="E43" s="9" t="s">
        <v>67</v>
      </c>
      <c r="F43" s="9" t="s">
        <v>162</v>
      </c>
      <c r="G43" s="9" t="s">
        <v>163</v>
      </c>
      <c r="H43" s="9" t="s">
        <v>164</v>
      </c>
      <c r="I43" s="7" t="s">
        <v>46</v>
      </c>
      <c r="J43" s="7"/>
      <c r="K43" s="7"/>
    </row>
    <row r="44" customFormat="false" ht="30" hidden="false" customHeight="true" outlineLevel="0" collapsed="false">
      <c r="A44" s="12" t="n">
        <v>46342</v>
      </c>
      <c r="B44" s="11" t="n">
        <v>6</v>
      </c>
      <c r="C44" s="11" t="s">
        <v>71</v>
      </c>
      <c r="D44" s="11" t="s">
        <v>41</v>
      </c>
      <c r="E44" s="13" t="s">
        <v>72</v>
      </c>
      <c r="F44" s="13" t="s">
        <v>102</v>
      </c>
      <c r="G44" s="13" t="s">
        <v>103</v>
      </c>
      <c r="H44" s="13" t="s">
        <v>104</v>
      </c>
      <c r="I44" s="11" t="s">
        <v>46</v>
      </c>
      <c r="J44" s="11"/>
      <c r="K44" s="11"/>
    </row>
    <row r="45" customFormat="false" ht="30" hidden="false" customHeight="true" outlineLevel="0" collapsed="false">
      <c r="A45" s="14" t="n">
        <v>46343</v>
      </c>
      <c r="B45" s="7" t="n">
        <v>6</v>
      </c>
      <c r="C45" s="7" t="s">
        <v>76</v>
      </c>
      <c r="D45" s="7" t="s">
        <v>48</v>
      </c>
      <c r="E45" s="9" t="s">
        <v>54</v>
      </c>
      <c r="F45" s="9" t="s">
        <v>165</v>
      </c>
      <c r="G45" s="9" t="s">
        <v>166</v>
      </c>
      <c r="H45" s="9" t="s">
        <v>167</v>
      </c>
      <c r="I45" s="7" t="s">
        <v>46</v>
      </c>
      <c r="J45" s="7"/>
      <c r="K45" s="7"/>
    </row>
    <row r="46" customFormat="false" ht="30" hidden="false" customHeight="true" outlineLevel="0" collapsed="false">
      <c r="A46" s="14" t="n">
        <v>46344</v>
      </c>
      <c r="B46" s="7" t="n">
        <v>6</v>
      </c>
      <c r="C46" s="7" t="s">
        <v>80</v>
      </c>
      <c r="D46" s="7" t="s">
        <v>48</v>
      </c>
      <c r="E46" s="9" t="s">
        <v>81</v>
      </c>
      <c r="F46" s="9" t="s">
        <v>43</v>
      </c>
      <c r="G46" s="9" t="s">
        <v>168</v>
      </c>
      <c r="H46" s="9" t="s">
        <v>169</v>
      </c>
      <c r="I46" s="7" t="s">
        <v>46</v>
      </c>
      <c r="J46" s="7"/>
      <c r="K46" s="7"/>
    </row>
    <row r="47" customFormat="false" ht="30" hidden="false" customHeight="true" outlineLevel="0" collapsed="false">
      <c r="A47" s="12" t="n">
        <v>46345</v>
      </c>
      <c r="B47" s="11" t="n">
        <v>6</v>
      </c>
      <c r="C47" s="11" t="s">
        <v>40</v>
      </c>
      <c r="D47" s="11" t="s">
        <v>41</v>
      </c>
      <c r="E47" s="13" t="s">
        <v>84</v>
      </c>
      <c r="F47" s="13" t="s">
        <v>170</v>
      </c>
      <c r="G47" s="13" t="s">
        <v>171</v>
      </c>
      <c r="H47" s="13" t="s">
        <v>172</v>
      </c>
      <c r="I47" s="11" t="s">
        <v>46</v>
      </c>
      <c r="J47" s="11"/>
      <c r="K47" s="11"/>
    </row>
    <row r="48" customFormat="false" ht="30" hidden="false" customHeight="true" outlineLevel="0" collapsed="false">
      <c r="A48" s="14" t="n">
        <v>46346</v>
      </c>
      <c r="B48" s="7" t="n">
        <v>6</v>
      </c>
      <c r="C48" s="7" t="s">
        <v>47</v>
      </c>
      <c r="D48" s="7" t="s">
        <v>48</v>
      </c>
      <c r="E48" s="9" t="s">
        <v>49</v>
      </c>
      <c r="F48" s="9" t="s">
        <v>173</v>
      </c>
      <c r="G48" s="9" t="s">
        <v>174</v>
      </c>
      <c r="H48" s="9" t="s">
        <v>175</v>
      </c>
      <c r="I48" s="7" t="s">
        <v>46</v>
      </c>
      <c r="J48" s="7"/>
      <c r="K48" s="7"/>
    </row>
    <row r="49" customFormat="false" ht="30" hidden="false" customHeight="true" outlineLevel="0" collapsed="false">
      <c r="A49" s="14" t="n">
        <v>46347</v>
      </c>
      <c r="B49" s="7" t="n">
        <v>6</v>
      </c>
      <c r="C49" s="7" t="s">
        <v>53</v>
      </c>
      <c r="D49" s="7" t="s">
        <v>48</v>
      </c>
      <c r="E49" s="9" t="s">
        <v>54</v>
      </c>
      <c r="F49" s="9" t="s">
        <v>176</v>
      </c>
      <c r="G49" s="9" t="s">
        <v>177</v>
      </c>
      <c r="H49" s="9" t="s">
        <v>178</v>
      </c>
      <c r="I49" s="7" t="s">
        <v>46</v>
      </c>
      <c r="J49" s="7"/>
      <c r="K49" s="7"/>
    </row>
    <row r="50" customFormat="false" ht="30" hidden="false" customHeight="true" outlineLevel="0" collapsed="false">
      <c r="A50" s="15" t="n">
        <v>46347</v>
      </c>
      <c r="B50" s="16" t="n">
        <v>6</v>
      </c>
      <c r="C50" s="16" t="s">
        <v>53</v>
      </c>
      <c r="D50" s="16" t="s">
        <v>58</v>
      </c>
      <c r="E50" s="17" t="s">
        <v>19</v>
      </c>
      <c r="F50" s="17" t="s">
        <v>117</v>
      </c>
      <c r="G50" s="17" t="s">
        <v>118</v>
      </c>
      <c r="H50" s="17" t="s">
        <v>119</v>
      </c>
      <c r="I50" s="16" t="s">
        <v>46</v>
      </c>
      <c r="J50" s="16"/>
      <c r="K50" s="16"/>
    </row>
    <row r="51" customFormat="false" ht="30" hidden="false" customHeight="true" outlineLevel="0" collapsed="false">
      <c r="A51" s="14" t="n">
        <v>46348</v>
      </c>
      <c r="B51" s="7" t="n">
        <v>6</v>
      </c>
      <c r="C51" s="7" t="s">
        <v>62</v>
      </c>
      <c r="D51" s="7" t="s">
        <v>48</v>
      </c>
      <c r="E51" s="9" t="s">
        <v>63</v>
      </c>
      <c r="F51" s="9" t="s">
        <v>43</v>
      </c>
      <c r="G51" s="9" t="s">
        <v>179</v>
      </c>
      <c r="H51" s="9" t="s">
        <v>180</v>
      </c>
      <c r="I51" s="7" t="s">
        <v>46</v>
      </c>
      <c r="J51" s="7"/>
      <c r="K51" s="7"/>
    </row>
    <row r="52" customFormat="false" ht="30" hidden="false" customHeight="true" outlineLevel="0" collapsed="false">
      <c r="A52" s="14" t="n">
        <v>46348</v>
      </c>
      <c r="B52" s="7" t="n">
        <v>6</v>
      </c>
      <c r="C52" s="7" t="s">
        <v>62</v>
      </c>
      <c r="D52" s="7" t="s">
        <v>48</v>
      </c>
      <c r="E52" s="9" t="s">
        <v>67</v>
      </c>
      <c r="F52" s="9" t="s">
        <v>170</v>
      </c>
      <c r="G52" s="9" t="s">
        <v>181</v>
      </c>
      <c r="H52" s="9" t="s">
        <v>182</v>
      </c>
      <c r="I52" s="7" t="s">
        <v>46</v>
      </c>
      <c r="J52" s="7"/>
      <c r="K52" s="7"/>
    </row>
    <row r="53" customFormat="false" ht="30" hidden="false" customHeight="true" outlineLevel="0" collapsed="false">
      <c r="A53" s="12" t="n">
        <v>46349</v>
      </c>
      <c r="B53" s="11" t="n">
        <v>7</v>
      </c>
      <c r="C53" s="11" t="s">
        <v>71</v>
      </c>
      <c r="D53" s="11" t="s">
        <v>41</v>
      </c>
      <c r="E53" s="13" t="s">
        <v>72</v>
      </c>
      <c r="F53" s="13" t="s">
        <v>125</v>
      </c>
      <c r="G53" s="13" t="s">
        <v>126</v>
      </c>
      <c r="H53" s="13" t="s">
        <v>127</v>
      </c>
      <c r="I53" s="11" t="s">
        <v>46</v>
      </c>
      <c r="J53" s="11"/>
      <c r="K53" s="11"/>
    </row>
    <row r="54" customFormat="false" ht="30" hidden="false" customHeight="true" outlineLevel="0" collapsed="false">
      <c r="A54" s="14" t="n">
        <v>46350</v>
      </c>
      <c r="B54" s="7" t="n">
        <v>7</v>
      </c>
      <c r="C54" s="7" t="s">
        <v>76</v>
      </c>
      <c r="D54" s="7" t="s">
        <v>48</v>
      </c>
      <c r="E54" s="9" t="s">
        <v>54</v>
      </c>
      <c r="F54" s="9" t="s">
        <v>183</v>
      </c>
      <c r="G54" s="9" t="s">
        <v>184</v>
      </c>
      <c r="H54" s="9" t="s">
        <v>185</v>
      </c>
      <c r="I54" s="7" t="s">
        <v>46</v>
      </c>
      <c r="J54" s="7"/>
      <c r="K54" s="7"/>
    </row>
    <row r="55" customFormat="false" ht="30" hidden="false" customHeight="true" outlineLevel="0" collapsed="false">
      <c r="A55" s="14" t="n">
        <v>46351</v>
      </c>
      <c r="B55" s="7" t="n">
        <v>7</v>
      </c>
      <c r="C55" s="7" t="s">
        <v>80</v>
      </c>
      <c r="D55" s="7" t="s">
        <v>48</v>
      </c>
      <c r="E55" s="9" t="s">
        <v>81</v>
      </c>
      <c r="F55" s="9" t="s">
        <v>170</v>
      </c>
      <c r="G55" s="9" t="s">
        <v>186</v>
      </c>
      <c r="H55" s="9" t="s">
        <v>187</v>
      </c>
      <c r="I55" s="7" t="s">
        <v>46</v>
      </c>
      <c r="J55" s="7"/>
      <c r="K55" s="7"/>
    </row>
    <row r="56" customFormat="false" ht="30" hidden="false" customHeight="true" outlineLevel="0" collapsed="false">
      <c r="A56" s="12" t="n">
        <v>46352</v>
      </c>
      <c r="B56" s="11" t="n">
        <v>7</v>
      </c>
      <c r="C56" s="11" t="s">
        <v>40</v>
      </c>
      <c r="D56" s="11" t="s">
        <v>41</v>
      </c>
      <c r="E56" s="13" t="s">
        <v>42</v>
      </c>
      <c r="F56" s="13" t="s">
        <v>136</v>
      </c>
      <c r="G56" s="13" t="s">
        <v>188</v>
      </c>
      <c r="H56" s="13" t="s">
        <v>189</v>
      </c>
      <c r="I56" s="11" t="s">
        <v>46</v>
      </c>
      <c r="J56" s="11"/>
      <c r="K56" s="11"/>
    </row>
    <row r="57" customFormat="false" ht="30" hidden="false" customHeight="true" outlineLevel="0" collapsed="false">
      <c r="A57" s="14" t="n">
        <v>46353</v>
      </c>
      <c r="B57" s="7" t="n">
        <v>7</v>
      </c>
      <c r="C57" s="7" t="s">
        <v>47</v>
      </c>
      <c r="D57" s="7" t="s">
        <v>48</v>
      </c>
      <c r="E57" s="9" t="s">
        <v>49</v>
      </c>
      <c r="F57" s="9" t="s">
        <v>190</v>
      </c>
      <c r="G57" s="9" t="s">
        <v>191</v>
      </c>
      <c r="H57" s="9" t="s">
        <v>192</v>
      </c>
      <c r="I57" s="7" t="s">
        <v>46</v>
      </c>
      <c r="J57" s="7"/>
      <c r="K57" s="7"/>
    </row>
    <row r="58" customFormat="false" ht="30" hidden="false" customHeight="true" outlineLevel="0" collapsed="false">
      <c r="A58" s="14" t="n">
        <v>46354</v>
      </c>
      <c r="B58" s="7" t="n">
        <v>7</v>
      </c>
      <c r="C58" s="7" t="s">
        <v>53</v>
      </c>
      <c r="D58" s="7" t="s">
        <v>48</v>
      </c>
      <c r="E58" s="9" t="s">
        <v>54</v>
      </c>
      <c r="F58" s="9" t="s">
        <v>55</v>
      </c>
      <c r="G58" s="9" t="s">
        <v>56</v>
      </c>
      <c r="H58" s="9" t="s">
        <v>57</v>
      </c>
      <c r="I58" s="7" t="s">
        <v>46</v>
      </c>
      <c r="J58" s="7"/>
      <c r="K58" s="7"/>
    </row>
    <row r="59" customFormat="false" ht="30" hidden="false" customHeight="true" outlineLevel="0" collapsed="false">
      <c r="A59" s="15" t="n">
        <v>46354</v>
      </c>
      <c r="B59" s="16" t="n">
        <v>7</v>
      </c>
      <c r="C59" s="16" t="s">
        <v>53</v>
      </c>
      <c r="D59" s="16" t="s">
        <v>58</v>
      </c>
      <c r="E59" s="17" t="s">
        <v>19</v>
      </c>
      <c r="F59" s="17" t="s">
        <v>59</v>
      </c>
      <c r="G59" s="17" t="s">
        <v>60</v>
      </c>
      <c r="H59" s="17" t="s">
        <v>61</v>
      </c>
      <c r="I59" s="16" t="s">
        <v>46</v>
      </c>
      <c r="J59" s="16"/>
      <c r="K59" s="16"/>
    </row>
    <row r="60" customFormat="false" ht="30" hidden="false" customHeight="true" outlineLevel="0" collapsed="false">
      <c r="A60" s="14" t="n">
        <v>46355</v>
      </c>
      <c r="B60" s="7" t="n">
        <v>7</v>
      </c>
      <c r="C60" s="7" t="s">
        <v>62</v>
      </c>
      <c r="D60" s="7" t="s">
        <v>48</v>
      </c>
      <c r="E60" s="9" t="s">
        <v>63</v>
      </c>
      <c r="F60" s="9" t="s">
        <v>159</v>
      </c>
      <c r="G60" s="9" t="s">
        <v>193</v>
      </c>
      <c r="H60" s="9" t="s">
        <v>194</v>
      </c>
      <c r="I60" s="7" t="s">
        <v>46</v>
      </c>
      <c r="J60" s="7"/>
      <c r="K60" s="7"/>
    </row>
    <row r="61" customFormat="false" ht="30" hidden="false" customHeight="true" outlineLevel="0" collapsed="false">
      <c r="A61" s="14" t="n">
        <v>46355</v>
      </c>
      <c r="B61" s="7" t="n">
        <v>7</v>
      </c>
      <c r="C61" s="7" t="s">
        <v>62</v>
      </c>
      <c r="D61" s="7" t="s">
        <v>48</v>
      </c>
      <c r="E61" s="9" t="s">
        <v>67</v>
      </c>
      <c r="F61" s="9" t="s">
        <v>68</v>
      </c>
      <c r="G61" s="9" t="s">
        <v>69</v>
      </c>
      <c r="H61" s="9" t="s">
        <v>70</v>
      </c>
      <c r="I61" s="7" t="s">
        <v>46</v>
      </c>
      <c r="J61" s="7"/>
      <c r="K61" s="7"/>
    </row>
    <row r="62" customFormat="false" ht="30" hidden="false" customHeight="true" outlineLevel="0" collapsed="false">
      <c r="A62" s="12" t="n">
        <v>46356</v>
      </c>
      <c r="B62" s="11" t="n">
        <v>8</v>
      </c>
      <c r="C62" s="11" t="s">
        <v>71</v>
      </c>
      <c r="D62" s="11" t="s">
        <v>41</v>
      </c>
      <c r="E62" s="13" t="s">
        <v>72</v>
      </c>
      <c r="F62" s="13" t="s">
        <v>73</v>
      </c>
      <c r="G62" s="13" t="s">
        <v>74</v>
      </c>
      <c r="H62" s="13" t="s">
        <v>75</v>
      </c>
      <c r="I62" s="11" t="s">
        <v>46</v>
      </c>
      <c r="J62" s="11"/>
      <c r="K62" s="11"/>
    </row>
    <row r="63" customFormat="false" ht="30" hidden="false" customHeight="true" outlineLevel="0" collapsed="false">
      <c r="A63" s="14" t="n">
        <v>46357</v>
      </c>
      <c r="B63" s="7" t="n">
        <v>8</v>
      </c>
      <c r="C63" s="7" t="s">
        <v>76</v>
      </c>
      <c r="D63" s="7" t="s">
        <v>48</v>
      </c>
      <c r="E63" s="9" t="s">
        <v>54</v>
      </c>
      <c r="F63" s="9" t="s">
        <v>77</v>
      </c>
      <c r="G63" s="9" t="s">
        <v>78</v>
      </c>
      <c r="H63" s="9" t="s">
        <v>79</v>
      </c>
      <c r="I63" s="7" t="s">
        <v>46</v>
      </c>
      <c r="J63" s="7"/>
      <c r="K63" s="7"/>
    </row>
    <row r="64" customFormat="false" ht="30" hidden="false" customHeight="true" outlineLevel="0" collapsed="false">
      <c r="A64" s="14" t="n">
        <v>46358</v>
      </c>
      <c r="B64" s="7" t="n">
        <v>8</v>
      </c>
      <c r="C64" s="7" t="s">
        <v>80</v>
      </c>
      <c r="D64" s="7" t="s">
        <v>48</v>
      </c>
      <c r="E64" s="9" t="s">
        <v>81</v>
      </c>
      <c r="F64" s="9" t="s">
        <v>159</v>
      </c>
      <c r="G64" s="9" t="s">
        <v>195</v>
      </c>
      <c r="H64" s="9" t="s">
        <v>196</v>
      </c>
      <c r="I64" s="7" t="s">
        <v>46</v>
      </c>
      <c r="J64" s="7"/>
      <c r="K64" s="7"/>
    </row>
    <row r="65" customFormat="false" ht="30" hidden="false" customHeight="true" outlineLevel="0" collapsed="false">
      <c r="A65" s="12" t="n">
        <v>46359</v>
      </c>
      <c r="B65" s="11" t="n">
        <v>8</v>
      </c>
      <c r="C65" s="11" t="s">
        <v>40</v>
      </c>
      <c r="D65" s="11" t="s">
        <v>41</v>
      </c>
      <c r="E65" s="13" t="s">
        <v>197</v>
      </c>
      <c r="F65" s="13" t="s">
        <v>43</v>
      </c>
      <c r="G65" s="13" t="s">
        <v>198</v>
      </c>
      <c r="H65" s="13" t="s">
        <v>199</v>
      </c>
      <c r="I65" s="11" t="s">
        <v>46</v>
      </c>
      <c r="J65" s="11"/>
      <c r="K65" s="11"/>
    </row>
    <row r="66" customFormat="false" ht="30" hidden="false" customHeight="true" outlineLevel="0" collapsed="false">
      <c r="A66" s="14" t="n">
        <v>46360</v>
      </c>
      <c r="B66" s="7" t="n">
        <v>8</v>
      </c>
      <c r="C66" s="7" t="s">
        <v>47</v>
      </c>
      <c r="D66" s="7" t="s">
        <v>48</v>
      </c>
      <c r="E66" s="9" t="s">
        <v>49</v>
      </c>
      <c r="F66" s="9" t="s">
        <v>50</v>
      </c>
      <c r="G66" s="9" t="s">
        <v>200</v>
      </c>
      <c r="H66" s="9" t="s">
        <v>201</v>
      </c>
      <c r="I66" s="7" t="s">
        <v>46</v>
      </c>
      <c r="J66" s="7"/>
      <c r="K66" s="7"/>
    </row>
    <row r="67" customFormat="false" ht="30" hidden="false" customHeight="true" outlineLevel="0" collapsed="false">
      <c r="A67" s="14" t="n">
        <v>46361</v>
      </c>
      <c r="B67" s="7" t="n">
        <v>8</v>
      </c>
      <c r="C67" s="7" t="s">
        <v>53</v>
      </c>
      <c r="D67" s="7" t="s">
        <v>48</v>
      </c>
      <c r="E67" s="9" t="s">
        <v>54</v>
      </c>
      <c r="F67" s="9" t="s">
        <v>90</v>
      </c>
      <c r="G67" s="9" t="s">
        <v>91</v>
      </c>
      <c r="H67" s="9" t="s">
        <v>92</v>
      </c>
      <c r="I67" s="7" t="s">
        <v>46</v>
      </c>
      <c r="J67" s="7"/>
      <c r="K67" s="7"/>
    </row>
    <row r="68" customFormat="false" ht="30" hidden="false" customHeight="true" outlineLevel="0" collapsed="false">
      <c r="A68" s="15" t="n">
        <v>46361</v>
      </c>
      <c r="B68" s="16" t="n">
        <v>8</v>
      </c>
      <c r="C68" s="16" t="s">
        <v>53</v>
      </c>
      <c r="D68" s="16" t="s">
        <v>58</v>
      </c>
      <c r="E68" s="17" t="s">
        <v>19</v>
      </c>
      <c r="F68" s="17" t="s">
        <v>93</v>
      </c>
      <c r="G68" s="17" t="s">
        <v>94</v>
      </c>
      <c r="H68" s="17" t="s">
        <v>95</v>
      </c>
      <c r="I68" s="16" t="s">
        <v>46</v>
      </c>
      <c r="J68" s="16"/>
      <c r="K68" s="16"/>
    </row>
    <row r="69" customFormat="false" ht="30" hidden="false" customHeight="true" outlineLevel="0" collapsed="false">
      <c r="A69" s="14" t="n">
        <v>46362</v>
      </c>
      <c r="B69" s="7" t="n">
        <v>8</v>
      </c>
      <c r="C69" s="7" t="s">
        <v>62</v>
      </c>
      <c r="D69" s="7" t="s">
        <v>48</v>
      </c>
      <c r="E69" s="9" t="s">
        <v>63</v>
      </c>
      <c r="F69" s="9" t="s">
        <v>122</v>
      </c>
      <c r="G69" s="9" t="s">
        <v>202</v>
      </c>
      <c r="H69" s="9" t="s">
        <v>203</v>
      </c>
      <c r="I69" s="7" t="s">
        <v>46</v>
      </c>
      <c r="J69" s="7"/>
      <c r="K69" s="7"/>
    </row>
    <row r="70" customFormat="false" ht="30" hidden="false" customHeight="true" outlineLevel="0" collapsed="false">
      <c r="A70" s="14" t="n">
        <v>46362</v>
      </c>
      <c r="B70" s="7" t="n">
        <v>8</v>
      </c>
      <c r="C70" s="7" t="s">
        <v>62</v>
      </c>
      <c r="D70" s="7" t="s">
        <v>48</v>
      </c>
      <c r="E70" s="9" t="s">
        <v>67</v>
      </c>
      <c r="F70" s="9" t="s">
        <v>99</v>
      </c>
      <c r="G70" s="9" t="s">
        <v>100</v>
      </c>
      <c r="H70" s="9" t="s">
        <v>101</v>
      </c>
      <c r="I70" s="7" t="s">
        <v>46</v>
      </c>
      <c r="J70" s="7"/>
      <c r="K70" s="7"/>
    </row>
    <row r="71" customFormat="false" ht="30" hidden="false" customHeight="true" outlineLevel="0" collapsed="false">
      <c r="A71" s="12" t="n">
        <v>46363</v>
      </c>
      <c r="B71" s="11" t="n">
        <v>9</v>
      </c>
      <c r="C71" s="11" t="s">
        <v>71</v>
      </c>
      <c r="D71" s="11" t="s">
        <v>41</v>
      </c>
      <c r="E71" s="13" t="s">
        <v>72</v>
      </c>
      <c r="F71" s="13" t="s">
        <v>102</v>
      </c>
      <c r="G71" s="13" t="s">
        <v>103</v>
      </c>
      <c r="H71" s="13" t="s">
        <v>104</v>
      </c>
      <c r="I71" s="11" t="s">
        <v>46</v>
      </c>
      <c r="J71" s="11"/>
      <c r="K71" s="11"/>
    </row>
    <row r="72" customFormat="false" ht="30" hidden="false" customHeight="true" outlineLevel="0" collapsed="false">
      <c r="A72" s="14" t="n">
        <v>46364</v>
      </c>
      <c r="B72" s="7" t="n">
        <v>9</v>
      </c>
      <c r="C72" s="7" t="s">
        <v>76</v>
      </c>
      <c r="D72" s="7" t="s">
        <v>48</v>
      </c>
      <c r="E72" s="9" t="s">
        <v>54</v>
      </c>
      <c r="F72" s="9" t="s">
        <v>105</v>
      </c>
      <c r="G72" s="9" t="s">
        <v>106</v>
      </c>
      <c r="H72" s="9" t="s">
        <v>107</v>
      </c>
      <c r="I72" s="7" t="s">
        <v>46</v>
      </c>
      <c r="J72" s="7"/>
      <c r="K72" s="7"/>
    </row>
    <row r="73" customFormat="false" ht="30" hidden="false" customHeight="true" outlineLevel="0" collapsed="false">
      <c r="A73" s="14" t="n">
        <v>46365</v>
      </c>
      <c r="B73" s="7" t="n">
        <v>9</v>
      </c>
      <c r="C73" s="7" t="s">
        <v>80</v>
      </c>
      <c r="D73" s="7" t="s">
        <v>48</v>
      </c>
      <c r="E73" s="9" t="s">
        <v>81</v>
      </c>
      <c r="F73" s="9" t="s">
        <v>108</v>
      </c>
      <c r="G73" s="9" t="s">
        <v>204</v>
      </c>
      <c r="H73" s="9" t="s">
        <v>205</v>
      </c>
      <c r="I73" s="7" t="s">
        <v>46</v>
      </c>
      <c r="J73" s="7"/>
      <c r="K73" s="7"/>
    </row>
    <row r="74" customFormat="false" ht="30" hidden="false" customHeight="true" outlineLevel="0" collapsed="false">
      <c r="A74" s="12" t="n">
        <v>46366</v>
      </c>
      <c r="B74" s="11" t="n">
        <v>9</v>
      </c>
      <c r="C74" s="11" t="s">
        <v>40</v>
      </c>
      <c r="D74" s="11" t="s">
        <v>41</v>
      </c>
      <c r="E74" s="13" t="s">
        <v>84</v>
      </c>
      <c r="F74" s="13" t="s">
        <v>159</v>
      </c>
      <c r="G74" s="13" t="s">
        <v>206</v>
      </c>
      <c r="H74" s="13" t="s">
        <v>207</v>
      </c>
      <c r="I74" s="11" t="s">
        <v>46</v>
      </c>
      <c r="J74" s="11"/>
      <c r="K74" s="11"/>
    </row>
    <row r="75" customFormat="false" ht="30" hidden="false" customHeight="true" outlineLevel="0" collapsed="false">
      <c r="A75" s="14" t="n">
        <v>46367</v>
      </c>
      <c r="B75" s="7" t="n">
        <v>9</v>
      </c>
      <c r="C75" s="7" t="s">
        <v>47</v>
      </c>
      <c r="D75" s="7" t="s">
        <v>48</v>
      </c>
      <c r="E75" s="9" t="s">
        <v>49</v>
      </c>
      <c r="F75" s="9" t="s">
        <v>208</v>
      </c>
      <c r="G75" s="9" t="s">
        <v>209</v>
      </c>
      <c r="H75" s="9" t="s">
        <v>210</v>
      </c>
      <c r="I75" s="7" t="s">
        <v>46</v>
      </c>
      <c r="J75" s="7"/>
      <c r="K75" s="7"/>
    </row>
    <row r="76" customFormat="false" ht="30" hidden="false" customHeight="true" outlineLevel="0" collapsed="false">
      <c r="A76" s="14" t="n">
        <v>46368</v>
      </c>
      <c r="B76" s="7" t="n">
        <v>9</v>
      </c>
      <c r="C76" s="7" t="s">
        <v>53</v>
      </c>
      <c r="D76" s="7" t="s">
        <v>48</v>
      </c>
      <c r="E76" s="9" t="s">
        <v>54</v>
      </c>
      <c r="F76" s="9" t="s">
        <v>90</v>
      </c>
      <c r="G76" s="9" t="s">
        <v>115</v>
      </c>
      <c r="H76" s="9" t="s">
        <v>116</v>
      </c>
      <c r="I76" s="7" t="s">
        <v>46</v>
      </c>
      <c r="J76" s="7"/>
      <c r="K76" s="7"/>
    </row>
    <row r="77" customFormat="false" ht="30" hidden="false" customHeight="true" outlineLevel="0" collapsed="false">
      <c r="A77" s="15" t="n">
        <v>46368</v>
      </c>
      <c r="B77" s="16" t="n">
        <v>9</v>
      </c>
      <c r="C77" s="16" t="s">
        <v>53</v>
      </c>
      <c r="D77" s="16" t="s">
        <v>58</v>
      </c>
      <c r="E77" s="17" t="s">
        <v>19</v>
      </c>
      <c r="F77" s="17" t="s">
        <v>117</v>
      </c>
      <c r="G77" s="17" t="s">
        <v>118</v>
      </c>
      <c r="H77" s="17" t="s">
        <v>119</v>
      </c>
      <c r="I77" s="16" t="s">
        <v>46</v>
      </c>
      <c r="J77" s="16"/>
      <c r="K77" s="16"/>
    </row>
    <row r="78" customFormat="false" ht="30" hidden="false" customHeight="true" outlineLevel="0" collapsed="false">
      <c r="A78" s="14" t="n">
        <v>46369</v>
      </c>
      <c r="B78" s="7" t="n">
        <v>9</v>
      </c>
      <c r="C78" s="7" t="s">
        <v>62</v>
      </c>
      <c r="D78" s="7" t="s">
        <v>48</v>
      </c>
      <c r="E78" s="9" t="s">
        <v>63</v>
      </c>
      <c r="F78" s="9" t="s">
        <v>211</v>
      </c>
      <c r="G78" s="9" t="s">
        <v>212</v>
      </c>
      <c r="H78" s="9" t="s">
        <v>213</v>
      </c>
      <c r="I78" s="7" t="s">
        <v>46</v>
      </c>
      <c r="J78" s="7"/>
      <c r="K78" s="7"/>
    </row>
    <row r="79" customFormat="false" ht="30" hidden="false" customHeight="true" outlineLevel="0" collapsed="false">
      <c r="A79" s="14" t="n">
        <v>46369</v>
      </c>
      <c r="B79" s="7" t="n">
        <v>9</v>
      </c>
      <c r="C79" s="7" t="s">
        <v>62</v>
      </c>
      <c r="D79" s="7" t="s">
        <v>48</v>
      </c>
      <c r="E79" s="9" t="s">
        <v>67</v>
      </c>
      <c r="F79" s="9" t="s">
        <v>122</v>
      </c>
      <c r="G79" s="9" t="s">
        <v>123</v>
      </c>
      <c r="H79" s="9" t="s">
        <v>124</v>
      </c>
      <c r="I79" s="7" t="s">
        <v>46</v>
      </c>
      <c r="J79" s="7"/>
      <c r="K79" s="7"/>
    </row>
    <row r="80" customFormat="false" ht="30" hidden="false" customHeight="true" outlineLevel="0" collapsed="false">
      <c r="A80" s="12" t="n">
        <v>46370</v>
      </c>
      <c r="B80" s="11" t="n">
        <v>10</v>
      </c>
      <c r="C80" s="11" t="s">
        <v>71</v>
      </c>
      <c r="D80" s="11" t="s">
        <v>41</v>
      </c>
      <c r="E80" s="13" t="s">
        <v>72</v>
      </c>
      <c r="F80" s="13" t="s">
        <v>125</v>
      </c>
      <c r="G80" s="13" t="s">
        <v>126</v>
      </c>
      <c r="H80" s="13" t="s">
        <v>127</v>
      </c>
      <c r="I80" s="11" t="s">
        <v>46</v>
      </c>
      <c r="J80" s="11"/>
      <c r="K80" s="11"/>
    </row>
    <row r="81" customFormat="false" ht="30" hidden="false" customHeight="true" outlineLevel="0" collapsed="false">
      <c r="A81" s="14" t="n">
        <v>46371</v>
      </c>
      <c r="B81" s="7" t="n">
        <v>10</v>
      </c>
      <c r="C81" s="7" t="s">
        <v>76</v>
      </c>
      <c r="D81" s="7" t="s">
        <v>48</v>
      </c>
      <c r="E81" s="9" t="s">
        <v>54</v>
      </c>
      <c r="F81" s="9" t="s">
        <v>128</v>
      </c>
      <c r="G81" s="9" t="s">
        <v>129</v>
      </c>
      <c r="H81" s="9" t="s">
        <v>130</v>
      </c>
      <c r="I81" s="7" t="s">
        <v>46</v>
      </c>
      <c r="J81" s="7"/>
      <c r="K81" s="7"/>
    </row>
    <row r="82" customFormat="false" ht="30" hidden="false" customHeight="true" outlineLevel="0" collapsed="false">
      <c r="A82" s="14" t="n">
        <v>46372</v>
      </c>
      <c r="B82" s="7" t="n">
        <v>10</v>
      </c>
      <c r="C82" s="7" t="s">
        <v>80</v>
      </c>
      <c r="D82" s="7" t="s">
        <v>48</v>
      </c>
      <c r="E82" s="9" t="s">
        <v>81</v>
      </c>
      <c r="F82" s="9" t="s">
        <v>108</v>
      </c>
      <c r="G82" s="9" t="s">
        <v>214</v>
      </c>
      <c r="H82" s="9" t="s">
        <v>215</v>
      </c>
      <c r="I82" s="7" t="s">
        <v>46</v>
      </c>
      <c r="J82" s="7"/>
      <c r="K82" s="7"/>
    </row>
    <row r="83" customFormat="false" ht="30" hidden="false" customHeight="true" outlineLevel="0" collapsed="false">
      <c r="A83" s="12" t="n">
        <v>46373</v>
      </c>
      <c r="B83" s="11" t="n">
        <v>10</v>
      </c>
      <c r="C83" s="11" t="s">
        <v>40</v>
      </c>
      <c r="D83" s="11" t="s">
        <v>41</v>
      </c>
      <c r="E83" s="13" t="s">
        <v>152</v>
      </c>
      <c r="F83" s="13" t="s">
        <v>50</v>
      </c>
      <c r="G83" s="13" t="s">
        <v>216</v>
      </c>
      <c r="H83" s="13" t="s">
        <v>217</v>
      </c>
      <c r="I83" s="11" t="s">
        <v>46</v>
      </c>
      <c r="J83" s="11"/>
      <c r="K83" s="11"/>
    </row>
    <row r="84" customFormat="false" ht="30" hidden="false" customHeight="true" outlineLevel="0" collapsed="false">
      <c r="A84" s="14" t="n">
        <v>46374</v>
      </c>
      <c r="B84" s="7" t="n">
        <v>10</v>
      </c>
      <c r="C84" s="7" t="s">
        <v>47</v>
      </c>
      <c r="D84" s="7" t="s">
        <v>48</v>
      </c>
      <c r="E84" s="9" t="s">
        <v>49</v>
      </c>
      <c r="F84" s="9" t="s">
        <v>50</v>
      </c>
      <c r="G84" s="9" t="s">
        <v>218</v>
      </c>
      <c r="H84" s="9" t="s">
        <v>219</v>
      </c>
      <c r="I84" s="7" t="s">
        <v>46</v>
      </c>
      <c r="J84" s="7"/>
      <c r="K84" s="7"/>
    </row>
    <row r="85" customFormat="false" ht="30" hidden="false" customHeight="true" outlineLevel="0" collapsed="false">
      <c r="A85" s="14" t="n">
        <v>46375</v>
      </c>
      <c r="B85" s="7" t="n">
        <v>10</v>
      </c>
      <c r="C85" s="7" t="s">
        <v>53</v>
      </c>
      <c r="D85" s="7" t="s">
        <v>48</v>
      </c>
      <c r="E85" s="9" t="s">
        <v>54</v>
      </c>
      <c r="F85" s="9" t="s">
        <v>55</v>
      </c>
      <c r="G85" s="9" t="s">
        <v>139</v>
      </c>
      <c r="H85" s="9" t="s">
        <v>140</v>
      </c>
      <c r="I85" s="7" t="s">
        <v>46</v>
      </c>
      <c r="J85" s="7"/>
      <c r="K85" s="7"/>
    </row>
    <row r="86" customFormat="false" ht="30" hidden="false" customHeight="true" outlineLevel="0" collapsed="false">
      <c r="A86" s="15" t="n">
        <v>46375</v>
      </c>
      <c r="B86" s="16" t="n">
        <v>10</v>
      </c>
      <c r="C86" s="16" t="s">
        <v>53</v>
      </c>
      <c r="D86" s="16" t="s">
        <v>58</v>
      </c>
      <c r="E86" s="17" t="s">
        <v>19</v>
      </c>
      <c r="F86" s="17" t="s">
        <v>59</v>
      </c>
      <c r="G86" s="17" t="s">
        <v>60</v>
      </c>
      <c r="H86" s="17" t="s">
        <v>61</v>
      </c>
      <c r="I86" s="16" t="s">
        <v>46</v>
      </c>
      <c r="J86" s="16"/>
      <c r="K86" s="16"/>
    </row>
    <row r="87" customFormat="false" ht="30" hidden="false" customHeight="true" outlineLevel="0" collapsed="false">
      <c r="A87" s="14" t="n">
        <v>46376</v>
      </c>
      <c r="B87" s="7" t="n">
        <v>10</v>
      </c>
      <c r="C87" s="7" t="s">
        <v>62</v>
      </c>
      <c r="D87" s="7" t="s">
        <v>48</v>
      </c>
      <c r="E87" s="9" t="s">
        <v>63</v>
      </c>
      <c r="F87" s="9" t="s">
        <v>85</v>
      </c>
      <c r="G87" s="9" t="s">
        <v>220</v>
      </c>
      <c r="H87" s="9" t="s">
        <v>221</v>
      </c>
      <c r="I87" s="7" t="s">
        <v>46</v>
      </c>
      <c r="J87" s="7"/>
      <c r="K87" s="7"/>
    </row>
    <row r="88" customFormat="false" ht="30" hidden="false" customHeight="true" outlineLevel="0" collapsed="false">
      <c r="A88" s="14" t="n">
        <v>46376</v>
      </c>
      <c r="B88" s="7" t="n">
        <v>10</v>
      </c>
      <c r="C88" s="7" t="s">
        <v>62</v>
      </c>
      <c r="D88" s="7" t="s">
        <v>48</v>
      </c>
      <c r="E88" s="9" t="s">
        <v>67</v>
      </c>
      <c r="F88" s="9" t="s">
        <v>144</v>
      </c>
      <c r="G88" s="9" t="s">
        <v>145</v>
      </c>
      <c r="H88" s="9" t="s">
        <v>146</v>
      </c>
      <c r="I88" s="7" t="s">
        <v>46</v>
      </c>
      <c r="J88" s="7"/>
      <c r="K88" s="7"/>
    </row>
    <row r="89" customFormat="false" ht="30" hidden="false" customHeight="true" outlineLevel="0" collapsed="false">
      <c r="A89" s="12" t="n">
        <v>46377</v>
      </c>
      <c r="B89" s="11" t="n">
        <v>11</v>
      </c>
      <c r="C89" s="11" t="s">
        <v>71</v>
      </c>
      <c r="D89" s="11" t="s">
        <v>41</v>
      </c>
      <c r="E89" s="13" t="s">
        <v>72</v>
      </c>
      <c r="F89" s="13" t="s">
        <v>73</v>
      </c>
      <c r="G89" s="13" t="s">
        <v>74</v>
      </c>
      <c r="H89" s="13" t="s">
        <v>75</v>
      </c>
      <c r="I89" s="11" t="s">
        <v>46</v>
      </c>
      <c r="J89" s="11"/>
      <c r="K89" s="11"/>
    </row>
    <row r="90" customFormat="false" ht="30" hidden="false" customHeight="true" outlineLevel="0" collapsed="false">
      <c r="A90" s="14" t="n">
        <v>46378</v>
      </c>
      <c r="B90" s="7" t="n">
        <v>11</v>
      </c>
      <c r="C90" s="7" t="s">
        <v>76</v>
      </c>
      <c r="D90" s="7" t="s">
        <v>48</v>
      </c>
      <c r="E90" s="9" t="s">
        <v>54</v>
      </c>
      <c r="F90" s="9" t="s">
        <v>147</v>
      </c>
      <c r="G90" s="9" t="s">
        <v>148</v>
      </c>
      <c r="H90" s="9" t="s">
        <v>149</v>
      </c>
      <c r="I90" s="7" t="s">
        <v>46</v>
      </c>
      <c r="J90" s="7"/>
      <c r="K90" s="7"/>
    </row>
    <row r="91" customFormat="false" ht="30" hidden="false" customHeight="true" outlineLevel="0" collapsed="false">
      <c r="A91" s="14" t="n">
        <v>46379</v>
      </c>
      <c r="B91" s="7" t="n">
        <v>11</v>
      </c>
      <c r="C91" s="7" t="s">
        <v>80</v>
      </c>
      <c r="D91" s="7" t="s">
        <v>48</v>
      </c>
      <c r="E91" s="9" t="s">
        <v>81</v>
      </c>
      <c r="F91" s="9" t="s">
        <v>222</v>
      </c>
      <c r="G91" s="9" t="s">
        <v>223</v>
      </c>
      <c r="H91" s="9" t="s">
        <v>224</v>
      </c>
      <c r="I91" s="7" t="s">
        <v>46</v>
      </c>
      <c r="J91" s="7"/>
      <c r="K91" s="7"/>
    </row>
    <row r="92" customFormat="false" ht="30" hidden="false" customHeight="true" outlineLevel="0" collapsed="false">
      <c r="A92" s="12" t="n">
        <v>46380</v>
      </c>
      <c r="B92" s="11" t="n">
        <v>11</v>
      </c>
      <c r="C92" s="11" t="s">
        <v>40</v>
      </c>
      <c r="D92" s="11" t="s">
        <v>41</v>
      </c>
      <c r="E92" s="13" t="s">
        <v>42</v>
      </c>
      <c r="F92" s="13" t="s">
        <v>108</v>
      </c>
      <c r="G92" s="13" t="s">
        <v>225</v>
      </c>
      <c r="H92" s="13" t="s">
        <v>226</v>
      </c>
      <c r="I92" s="11" t="s">
        <v>46</v>
      </c>
      <c r="J92" s="11"/>
      <c r="K92" s="11"/>
    </row>
    <row r="93" customFormat="false" ht="30" hidden="false" customHeight="true" outlineLevel="0" collapsed="false">
      <c r="A93" s="14" t="n">
        <v>46381</v>
      </c>
      <c r="B93" s="7" t="n">
        <v>11</v>
      </c>
      <c r="C93" s="7" t="s">
        <v>47</v>
      </c>
      <c r="D93" s="7" t="s">
        <v>48</v>
      </c>
      <c r="E93" s="9" t="s">
        <v>49</v>
      </c>
      <c r="F93" s="9" t="s">
        <v>108</v>
      </c>
      <c r="G93" s="9" t="s">
        <v>227</v>
      </c>
      <c r="H93" s="9" t="s">
        <v>228</v>
      </c>
      <c r="I93" s="7" t="s">
        <v>46</v>
      </c>
      <c r="J93" s="7"/>
      <c r="K93" s="7"/>
    </row>
    <row r="94" customFormat="false" ht="30" hidden="false" customHeight="true" outlineLevel="0" collapsed="false">
      <c r="A94" s="14" t="n">
        <v>46382</v>
      </c>
      <c r="B94" s="7" t="n">
        <v>11</v>
      </c>
      <c r="C94" s="7" t="s">
        <v>53</v>
      </c>
      <c r="D94" s="7" t="s">
        <v>48</v>
      </c>
      <c r="E94" s="9" t="s">
        <v>54</v>
      </c>
      <c r="F94" s="9" t="s">
        <v>55</v>
      </c>
      <c r="G94" s="9" t="s">
        <v>157</v>
      </c>
      <c r="H94" s="9" t="s">
        <v>158</v>
      </c>
      <c r="I94" s="7" t="s">
        <v>46</v>
      </c>
      <c r="J94" s="7"/>
      <c r="K94" s="7"/>
    </row>
    <row r="95" customFormat="false" ht="30" hidden="false" customHeight="true" outlineLevel="0" collapsed="false">
      <c r="A95" s="15" t="n">
        <v>46382</v>
      </c>
      <c r="B95" s="16" t="n">
        <v>11</v>
      </c>
      <c r="C95" s="16" t="s">
        <v>53</v>
      </c>
      <c r="D95" s="16" t="s">
        <v>58</v>
      </c>
      <c r="E95" s="17" t="s">
        <v>19</v>
      </c>
      <c r="F95" s="17" t="s">
        <v>93</v>
      </c>
      <c r="G95" s="17" t="s">
        <v>94</v>
      </c>
      <c r="H95" s="17" t="s">
        <v>95</v>
      </c>
      <c r="I95" s="16" t="s">
        <v>46</v>
      </c>
      <c r="J95" s="16"/>
      <c r="K95" s="16"/>
    </row>
    <row r="96" customFormat="false" ht="30" hidden="false" customHeight="true" outlineLevel="0" collapsed="false">
      <c r="A96" s="14" t="n">
        <v>46383</v>
      </c>
      <c r="B96" s="7" t="n">
        <v>11</v>
      </c>
      <c r="C96" s="7" t="s">
        <v>62</v>
      </c>
      <c r="D96" s="7" t="s">
        <v>48</v>
      </c>
      <c r="E96" s="9" t="s">
        <v>63</v>
      </c>
      <c r="F96" s="9" t="s">
        <v>64</v>
      </c>
      <c r="G96" s="9" t="s">
        <v>229</v>
      </c>
      <c r="H96" s="9" t="s">
        <v>230</v>
      </c>
      <c r="I96" s="7" t="s">
        <v>46</v>
      </c>
      <c r="J96" s="7"/>
      <c r="K96" s="7"/>
    </row>
    <row r="97" customFormat="false" ht="30" hidden="false" customHeight="true" outlineLevel="0" collapsed="false">
      <c r="A97" s="14" t="n">
        <v>46383</v>
      </c>
      <c r="B97" s="7" t="n">
        <v>11</v>
      </c>
      <c r="C97" s="7" t="s">
        <v>62</v>
      </c>
      <c r="D97" s="7" t="s">
        <v>48</v>
      </c>
      <c r="E97" s="9" t="s">
        <v>67</v>
      </c>
      <c r="F97" s="9" t="s">
        <v>162</v>
      </c>
      <c r="G97" s="9" t="s">
        <v>163</v>
      </c>
      <c r="H97" s="9" t="s">
        <v>164</v>
      </c>
      <c r="I97" s="7" t="s">
        <v>46</v>
      </c>
      <c r="J97" s="7"/>
      <c r="K97" s="7"/>
    </row>
    <row r="98" customFormat="false" ht="30" hidden="false" customHeight="true" outlineLevel="0" collapsed="false">
      <c r="A98" s="12" t="n">
        <v>46384</v>
      </c>
      <c r="B98" s="11" t="n">
        <v>12</v>
      </c>
      <c r="C98" s="11" t="s">
        <v>71</v>
      </c>
      <c r="D98" s="11" t="s">
        <v>41</v>
      </c>
      <c r="E98" s="13" t="s">
        <v>72</v>
      </c>
      <c r="F98" s="13" t="s">
        <v>102</v>
      </c>
      <c r="G98" s="13" t="s">
        <v>103</v>
      </c>
      <c r="H98" s="13" t="s">
        <v>104</v>
      </c>
      <c r="I98" s="11" t="s">
        <v>46</v>
      </c>
      <c r="J98" s="11"/>
      <c r="K98" s="11"/>
    </row>
    <row r="99" customFormat="false" ht="30" hidden="false" customHeight="true" outlineLevel="0" collapsed="false">
      <c r="A99" s="14" t="n">
        <v>46385</v>
      </c>
      <c r="B99" s="7" t="n">
        <v>12</v>
      </c>
      <c r="C99" s="7" t="s">
        <v>76</v>
      </c>
      <c r="D99" s="7" t="s">
        <v>48</v>
      </c>
      <c r="E99" s="9" t="s">
        <v>54</v>
      </c>
      <c r="F99" s="9" t="s">
        <v>165</v>
      </c>
      <c r="G99" s="9" t="s">
        <v>166</v>
      </c>
      <c r="H99" s="9" t="s">
        <v>167</v>
      </c>
      <c r="I99" s="7" t="s">
        <v>46</v>
      </c>
      <c r="J99" s="7"/>
      <c r="K99" s="7"/>
    </row>
    <row r="100" customFormat="false" ht="30" hidden="false" customHeight="true" outlineLevel="0" collapsed="false">
      <c r="A100" s="14" t="n">
        <v>46386</v>
      </c>
      <c r="B100" s="7" t="n">
        <v>12</v>
      </c>
      <c r="C100" s="7" t="s">
        <v>80</v>
      </c>
      <c r="D100" s="7" t="s">
        <v>48</v>
      </c>
      <c r="E100" s="9" t="s">
        <v>81</v>
      </c>
      <c r="F100" s="9" t="s">
        <v>59</v>
      </c>
      <c r="G100" s="9" t="s">
        <v>231</v>
      </c>
      <c r="H100" s="9" t="s">
        <v>232</v>
      </c>
      <c r="I100" s="7" t="s">
        <v>46</v>
      </c>
      <c r="J100" s="7"/>
      <c r="K100" s="7"/>
    </row>
    <row r="101" customFormat="false" ht="30" hidden="false" customHeight="true" outlineLevel="0" collapsed="false">
      <c r="A101" s="12" t="n">
        <v>46387</v>
      </c>
      <c r="B101" s="11" t="n">
        <v>12</v>
      </c>
      <c r="C101" s="11" t="s">
        <v>40</v>
      </c>
      <c r="D101" s="11" t="s">
        <v>41</v>
      </c>
      <c r="E101" s="13" t="s">
        <v>42</v>
      </c>
      <c r="F101" s="13" t="s">
        <v>43</v>
      </c>
      <c r="G101" s="13" t="s">
        <v>44</v>
      </c>
      <c r="H101" s="13" t="s">
        <v>45</v>
      </c>
      <c r="I101" s="11" t="s">
        <v>46</v>
      </c>
      <c r="J101" s="11"/>
      <c r="K101" s="11"/>
    </row>
  </sheetData>
  <autoFilter ref="A1:K101"/>
  <dataValidations count="1">
    <dataValidation allowBlank="true" errorStyle="stop" operator="between" showDropDown="false" showErrorMessage="false" showInputMessage="false" sqref="I2:I101" type="list">
      <formula1>"A produzir,Em produção,Aprovar,Aprovado,Publicado,Cancelado"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4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6" t="s">
        <v>36</v>
      </c>
      <c r="B1" s="6" t="s">
        <v>233</v>
      </c>
      <c r="C1" s="6" t="s">
        <v>37</v>
      </c>
      <c r="D1" s="6" t="s">
        <v>39</v>
      </c>
      <c r="E1" s="6" t="s">
        <v>234</v>
      </c>
    </row>
    <row r="2" customFormat="false" ht="27.75" hidden="false" customHeight="true" outlineLevel="0" collapsed="false">
      <c r="A2" s="7" t="s">
        <v>54</v>
      </c>
      <c r="B2" s="9" t="s">
        <v>56</v>
      </c>
      <c r="C2" s="7" t="s">
        <v>55</v>
      </c>
      <c r="D2" s="9" t="s">
        <v>57</v>
      </c>
      <c r="E2" s="9" t="s">
        <v>235</v>
      </c>
    </row>
    <row r="3" customFormat="false" ht="27.75" hidden="false" customHeight="true" outlineLevel="0" collapsed="false">
      <c r="A3" s="7" t="s">
        <v>54</v>
      </c>
      <c r="B3" s="9" t="s">
        <v>78</v>
      </c>
      <c r="C3" s="7" t="s">
        <v>77</v>
      </c>
      <c r="D3" s="9" t="s">
        <v>79</v>
      </c>
      <c r="E3" s="9" t="s">
        <v>235</v>
      </c>
    </row>
    <row r="4" customFormat="false" ht="27.75" hidden="false" customHeight="true" outlineLevel="0" collapsed="false">
      <c r="A4" s="7" t="s">
        <v>54</v>
      </c>
      <c r="B4" s="9" t="s">
        <v>91</v>
      </c>
      <c r="C4" s="7" t="s">
        <v>90</v>
      </c>
      <c r="D4" s="9" t="s">
        <v>92</v>
      </c>
      <c r="E4" s="9" t="s">
        <v>235</v>
      </c>
    </row>
    <row r="5" customFormat="false" ht="27.75" hidden="false" customHeight="true" outlineLevel="0" collapsed="false">
      <c r="A5" s="7" t="s">
        <v>54</v>
      </c>
      <c r="B5" s="9" t="s">
        <v>106</v>
      </c>
      <c r="C5" s="7" t="s">
        <v>105</v>
      </c>
      <c r="D5" s="9" t="s">
        <v>107</v>
      </c>
      <c r="E5" s="9" t="s">
        <v>235</v>
      </c>
    </row>
    <row r="6" customFormat="false" ht="27.75" hidden="false" customHeight="true" outlineLevel="0" collapsed="false">
      <c r="A6" s="7" t="s">
        <v>54</v>
      </c>
      <c r="B6" s="9" t="s">
        <v>115</v>
      </c>
      <c r="C6" s="7" t="s">
        <v>90</v>
      </c>
      <c r="D6" s="9" t="s">
        <v>116</v>
      </c>
      <c r="E6" s="9" t="s">
        <v>235</v>
      </c>
    </row>
    <row r="7" customFormat="false" ht="27.75" hidden="false" customHeight="true" outlineLevel="0" collapsed="false">
      <c r="A7" s="7" t="s">
        <v>54</v>
      </c>
      <c r="B7" s="9" t="s">
        <v>129</v>
      </c>
      <c r="C7" s="7" t="s">
        <v>128</v>
      </c>
      <c r="D7" s="9" t="s">
        <v>130</v>
      </c>
      <c r="E7" s="9" t="s">
        <v>235</v>
      </c>
    </row>
    <row r="8" customFormat="false" ht="27.75" hidden="false" customHeight="true" outlineLevel="0" collapsed="false">
      <c r="A8" s="7" t="s">
        <v>54</v>
      </c>
      <c r="B8" s="9" t="s">
        <v>139</v>
      </c>
      <c r="C8" s="7" t="s">
        <v>55</v>
      </c>
      <c r="D8" s="9" t="s">
        <v>140</v>
      </c>
      <c r="E8" s="9" t="s">
        <v>235</v>
      </c>
    </row>
    <row r="9" customFormat="false" ht="27.75" hidden="false" customHeight="true" outlineLevel="0" collapsed="false">
      <c r="A9" s="7" t="s">
        <v>54</v>
      </c>
      <c r="B9" s="9" t="s">
        <v>148</v>
      </c>
      <c r="C9" s="7" t="s">
        <v>147</v>
      </c>
      <c r="D9" s="9" t="s">
        <v>149</v>
      </c>
      <c r="E9" s="9" t="s">
        <v>235</v>
      </c>
    </row>
    <row r="10" customFormat="false" ht="27.75" hidden="false" customHeight="true" outlineLevel="0" collapsed="false">
      <c r="A10" s="7" t="s">
        <v>54</v>
      </c>
      <c r="B10" s="9" t="s">
        <v>157</v>
      </c>
      <c r="C10" s="7" t="s">
        <v>55</v>
      </c>
      <c r="D10" s="9" t="s">
        <v>158</v>
      </c>
      <c r="E10" s="9" t="s">
        <v>235</v>
      </c>
    </row>
    <row r="11" customFormat="false" ht="27.75" hidden="false" customHeight="true" outlineLevel="0" collapsed="false">
      <c r="A11" s="7" t="s">
        <v>54</v>
      </c>
      <c r="B11" s="9" t="s">
        <v>166</v>
      </c>
      <c r="C11" s="7" t="s">
        <v>165</v>
      </c>
      <c r="D11" s="9" t="s">
        <v>167</v>
      </c>
      <c r="E11" s="9" t="s">
        <v>235</v>
      </c>
    </row>
    <row r="12" customFormat="false" ht="27.75" hidden="false" customHeight="true" outlineLevel="0" collapsed="false">
      <c r="A12" s="7" t="s">
        <v>54</v>
      </c>
      <c r="B12" s="9" t="s">
        <v>177</v>
      </c>
      <c r="C12" s="7" t="s">
        <v>176</v>
      </c>
      <c r="D12" s="9" t="s">
        <v>178</v>
      </c>
      <c r="E12" s="9" t="s">
        <v>235</v>
      </c>
    </row>
    <row r="13" customFormat="false" ht="27.75" hidden="false" customHeight="true" outlineLevel="0" collapsed="false">
      <c r="A13" s="7" t="s">
        <v>54</v>
      </c>
      <c r="B13" s="9" t="s">
        <v>184</v>
      </c>
      <c r="C13" s="7" t="s">
        <v>183</v>
      </c>
      <c r="D13" s="9" t="s">
        <v>185</v>
      </c>
      <c r="E13" s="9" t="s">
        <v>235</v>
      </c>
    </row>
    <row r="14" customFormat="false" ht="27.75" hidden="false" customHeight="true" outlineLevel="0" collapsed="false">
      <c r="A14" s="7" t="s">
        <v>81</v>
      </c>
      <c r="B14" s="9" t="s">
        <v>82</v>
      </c>
      <c r="C14" s="7" t="s">
        <v>59</v>
      </c>
      <c r="D14" s="9" t="s">
        <v>83</v>
      </c>
      <c r="E14" s="9" t="s">
        <v>235</v>
      </c>
    </row>
    <row r="15" customFormat="false" ht="27.75" hidden="false" customHeight="true" outlineLevel="0" collapsed="false">
      <c r="A15" s="7" t="s">
        <v>81</v>
      </c>
      <c r="B15" s="9" t="s">
        <v>109</v>
      </c>
      <c r="C15" s="7" t="s">
        <v>108</v>
      </c>
      <c r="D15" s="9" t="s">
        <v>110</v>
      </c>
      <c r="E15" s="9" t="s">
        <v>235</v>
      </c>
    </row>
    <row r="16" customFormat="false" ht="27.75" hidden="false" customHeight="true" outlineLevel="0" collapsed="false">
      <c r="A16" s="7" t="s">
        <v>81</v>
      </c>
      <c r="B16" s="9" t="s">
        <v>131</v>
      </c>
      <c r="C16" s="7" t="s">
        <v>108</v>
      </c>
      <c r="D16" s="9" t="s">
        <v>132</v>
      </c>
      <c r="E16" s="9" t="s">
        <v>235</v>
      </c>
    </row>
    <row r="17" customFormat="false" ht="27.75" hidden="false" customHeight="true" outlineLevel="0" collapsed="false">
      <c r="A17" s="7" t="s">
        <v>81</v>
      </c>
      <c r="B17" s="9" t="s">
        <v>150</v>
      </c>
      <c r="C17" s="7" t="s">
        <v>122</v>
      </c>
      <c r="D17" s="9" t="s">
        <v>151</v>
      </c>
      <c r="E17" s="9" t="s">
        <v>235</v>
      </c>
    </row>
    <row r="18" customFormat="false" ht="27.75" hidden="false" customHeight="true" outlineLevel="0" collapsed="false">
      <c r="A18" s="7" t="s">
        <v>81</v>
      </c>
      <c r="B18" s="9" t="s">
        <v>168</v>
      </c>
      <c r="C18" s="7" t="s">
        <v>43</v>
      </c>
      <c r="D18" s="9" t="s">
        <v>169</v>
      </c>
      <c r="E18" s="9" t="s">
        <v>235</v>
      </c>
    </row>
    <row r="19" customFormat="false" ht="27.75" hidden="false" customHeight="true" outlineLevel="0" collapsed="false">
      <c r="A19" s="7" t="s">
        <v>81</v>
      </c>
      <c r="B19" s="9" t="s">
        <v>186</v>
      </c>
      <c r="C19" s="7" t="s">
        <v>170</v>
      </c>
      <c r="D19" s="9" t="s">
        <v>187</v>
      </c>
      <c r="E19" s="9" t="s">
        <v>235</v>
      </c>
    </row>
    <row r="20" customFormat="false" ht="27.75" hidden="false" customHeight="true" outlineLevel="0" collapsed="false">
      <c r="A20" s="7" t="s">
        <v>81</v>
      </c>
      <c r="B20" s="9" t="s">
        <v>195</v>
      </c>
      <c r="C20" s="7" t="s">
        <v>159</v>
      </c>
      <c r="D20" s="9" t="s">
        <v>196</v>
      </c>
      <c r="E20" s="9" t="s">
        <v>235</v>
      </c>
    </row>
    <row r="21" customFormat="false" ht="27.75" hidden="false" customHeight="true" outlineLevel="0" collapsed="false">
      <c r="A21" s="7" t="s">
        <v>81</v>
      </c>
      <c r="B21" s="9" t="s">
        <v>204</v>
      </c>
      <c r="C21" s="7" t="s">
        <v>108</v>
      </c>
      <c r="D21" s="9" t="s">
        <v>205</v>
      </c>
      <c r="E21" s="9" t="s">
        <v>235</v>
      </c>
    </row>
    <row r="22" customFormat="false" ht="27.75" hidden="false" customHeight="true" outlineLevel="0" collapsed="false">
      <c r="A22" s="7" t="s">
        <v>81</v>
      </c>
      <c r="B22" s="9" t="s">
        <v>214</v>
      </c>
      <c r="C22" s="7" t="s">
        <v>108</v>
      </c>
      <c r="D22" s="9" t="s">
        <v>215</v>
      </c>
      <c r="E22" s="9" t="s">
        <v>235</v>
      </c>
    </row>
    <row r="23" customFormat="false" ht="27.75" hidden="false" customHeight="true" outlineLevel="0" collapsed="false">
      <c r="A23" s="7" t="s">
        <v>81</v>
      </c>
      <c r="B23" s="9" t="s">
        <v>223</v>
      </c>
      <c r="C23" s="7" t="s">
        <v>222</v>
      </c>
      <c r="D23" s="9" t="s">
        <v>224</v>
      </c>
      <c r="E23" s="9" t="s">
        <v>235</v>
      </c>
    </row>
    <row r="24" customFormat="false" ht="27.75" hidden="false" customHeight="true" outlineLevel="0" collapsed="false">
      <c r="A24" s="7" t="s">
        <v>81</v>
      </c>
      <c r="B24" s="9" t="s">
        <v>231</v>
      </c>
      <c r="C24" s="7" t="s">
        <v>59</v>
      </c>
      <c r="D24" s="9" t="s">
        <v>232</v>
      </c>
      <c r="E24" s="9" t="s">
        <v>235</v>
      </c>
    </row>
    <row r="25" customFormat="false" ht="27.75" hidden="false" customHeight="true" outlineLevel="0" collapsed="false">
      <c r="A25" s="7" t="s">
        <v>81</v>
      </c>
      <c r="B25" s="9" t="s">
        <v>236</v>
      </c>
      <c r="C25" s="7" t="s">
        <v>237</v>
      </c>
      <c r="D25" s="9" t="s">
        <v>238</v>
      </c>
      <c r="E25" s="9" t="s">
        <v>235</v>
      </c>
    </row>
    <row r="26" customFormat="false" ht="27.75" hidden="false" customHeight="true" outlineLevel="0" collapsed="false">
      <c r="A26" s="7" t="s">
        <v>49</v>
      </c>
      <c r="B26" s="9" t="s">
        <v>51</v>
      </c>
      <c r="C26" s="7" t="s">
        <v>50</v>
      </c>
      <c r="D26" s="9" t="s">
        <v>52</v>
      </c>
      <c r="E26" s="9" t="s">
        <v>235</v>
      </c>
    </row>
    <row r="27" customFormat="false" ht="27.75" hidden="false" customHeight="true" outlineLevel="0" collapsed="false">
      <c r="A27" s="7" t="s">
        <v>49</v>
      </c>
      <c r="B27" s="9" t="s">
        <v>88</v>
      </c>
      <c r="C27" s="7" t="s">
        <v>50</v>
      </c>
      <c r="D27" s="9" t="s">
        <v>89</v>
      </c>
      <c r="E27" s="9" t="s">
        <v>235</v>
      </c>
    </row>
    <row r="28" customFormat="false" ht="27.75" hidden="false" customHeight="true" outlineLevel="0" collapsed="false">
      <c r="A28" s="7" t="s">
        <v>49</v>
      </c>
      <c r="B28" s="9" t="s">
        <v>113</v>
      </c>
      <c r="C28" s="7" t="s">
        <v>108</v>
      </c>
      <c r="D28" s="9" t="s">
        <v>114</v>
      </c>
      <c r="E28" s="9" t="s">
        <v>235</v>
      </c>
    </row>
    <row r="29" customFormat="false" ht="27.75" hidden="false" customHeight="true" outlineLevel="0" collapsed="false">
      <c r="A29" s="7" t="s">
        <v>49</v>
      </c>
      <c r="B29" s="9" t="s">
        <v>137</v>
      </c>
      <c r="C29" s="7" t="s">
        <v>136</v>
      </c>
      <c r="D29" s="9" t="s">
        <v>138</v>
      </c>
      <c r="E29" s="9" t="s">
        <v>235</v>
      </c>
    </row>
    <row r="30" customFormat="false" ht="27.75" hidden="false" customHeight="true" outlineLevel="0" collapsed="false">
      <c r="A30" s="7" t="s">
        <v>49</v>
      </c>
      <c r="B30" s="9" t="s">
        <v>155</v>
      </c>
      <c r="C30" s="7" t="s">
        <v>50</v>
      </c>
      <c r="D30" s="9" t="s">
        <v>156</v>
      </c>
      <c r="E30" s="9" t="s">
        <v>235</v>
      </c>
    </row>
    <row r="31" customFormat="false" ht="27.75" hidden="false" customHeight="true" outlineLevel="0" collapsed="false">
      <c r="A31" s="7" t="s">
        <v>49</v>
      </c>
      <c r="B31" s="9" t="s">
        <v>174</v>
      </c>
      <c r="C31" s="7" t="s">
        <v>173</v>
      </c>
      <c r="D31" s="9" t="s">
        <v>175</v>
      </c>
      <c r="E31" s="9" t="s">
        <v>235</v>
      </c>
    </row>
    <row r="32" customFormat="false" ht="27.75" hidden="false" customHeight="true" outlineLevel="0" collapsed="false">
      <c r="A32" s="7" t="s">
        <v>49</v>
      </c>
      <c r="B32" s="9" t="s">
        <v>191</v>
      </c>
      <c r="C32" s="7" t="s">
        <v>190</v>
      </c>
      <c r="D32" s="9" t="s">
        <v>192</v>
      </c>
      <c r="E32" s="9" t="s">
        <v>235</v>
      </c>
    </row>
    <row r="33" customFormat="false" ht="27.75" hidden="false" customHeight="true" outlineLevel="0" collapsed="false">
      <c r="A33" s="7" t="s">
        <v>49</v>
      </c>
      <c r="B33" s="9" t="s">
        <v>200</v>
      </c>
      <c r="C33" s="7" t="s">
        <v>50</v>
      </c>
      <c r="D33" s="9" t="s">
        <v>201</v>
      </c>
      <c r="E33" s="9" t="s">
        <v>235</v>
      </c>
    </row>
    <row r="34" customFormat="false" ht="27.75" hidden="false" customHeight="true" outlineLevel="0" collapsed="false">
      <c r="A34" s="7" t="s">
        <v>49</v>
      </c>
      <c r="B34" s="9" t="s">
        <v>209</v>
      </c>
      <c r="C34" s="7" t="s">
        <v>208</v>
      </c>
      <c r="D34" s="9" t="s">
        <v>210</v>
      </c>
      <c r="E34" s="9" t="s">
        <v>235</v>
      </c>
    </row>
    <row r="35" customFormat="false" ht="27.75" hidden="false" customHeight="true" outlineLevel="0" collapsed="false">
      <c r="A35" s="7" t="s">
        <v>49</v>
      </c>
      <c r="B35" s="9" t="s">
        <v>218</v>
      </c>
      <c r="C35" s="7" t="s">
        <v>50</v>
      </c>
      <c r="D35" s="9" t="s">
        <v>219</v>
      </c>
      <c r="E35" s="9" t="s">
        <v>235</v>
      </c>
    </row>
    <row r="36" customFormat="false" ht="27.75" hidden="false" customHeight="true" outlineLevel="0" collapsed="false">
      <c r="A36" s="7" t="s">
        <v>49</v>
      </c>
      <c r="B36" s="9" t="s">
        <v>227</v>
      </c>
      <c r="C36" s="7" t="s">
        <v>108</v>
      </c>
      <c r="D36" s="9" t="s">
        <v>228</v>
      </c>
      <c r="E36" s="9" t="s">
        <v>235</v>
      </c>
    </row>
    <row r="37" customFormat="false" ht="27.75" hidden="false" customHeight="true" outlineLevel="0" collapsed="false">
      <c r="A37" s="7" t="s">
        <v>49</v>
      </c>
      <c r="B37" s="9" t="s">
        <v>239</v>
      </c>
      <c r="C37" s="7" t="s">
        <v>165</v>
      </c>
      <c r="D37" s="9" t="s">
        <v>240</v>
      </c>
      <c r="E37" s="9" t="s">
        <v>235</v>
      </c>
    </row>
    <row r="38" customFormat="false" ht="27.75" hidden="false" customHeight="true" outlineLevel="0" collapsed="false">
      <c r="A38" s="7" t="s">
        <v>63</v>
      </c>
      <c r="B38" s="9" t="s">
        <v>65</v>
      </c>
      <c r="C38" s="7" t="s">
        <v>64</v>
      </c>
      <c r="D38" s="9" t="s">
        <v>66</v>
      </c>
      <c r="E38" s="9" t="s">
        <v>235</v>
      </c>
    </row>
    <row r="39" customFormat="false" ht="27.75" hidden="false" customHeight="true" outlineLevel="0" collapsed="false">
      <c r="A39" s="7" t="s">
        <v>63</v>
      </c>
      <c r="B39" s="9" t="s">
        <v>97</v>
      </c>
      <c r="C39" s="7" t="s">
        <v>96</v>
      </c>
      <c r="D39" s="9" t="s">
        <v>98</v>
      </c>
      <c r="E39" s="9" t="s">
        <v>235</v>
      </c>
    </row>
    <row r="40" customFormat="false" ht="27.75" hidden="false" customHeight="true" outlineLevel="0" collapsed="false">
      <c r="A40" s="7" t="s">
        <v>63</v>
      </c>
      <c r="B40" s="9" t="s">
        <v>120</v>
      </c>
      <c r="C40" s="7" t="s">
        <v>85</v>
      </c>
      <c r="D40" s="9" t="s">
        <v>121</v>
      </c>
      <c r="E40" s="9" t="s">
        <v>235</v>
      </c>
    </row>
    <row r="41" customFormat="false" ht="27.75" hidden="false" customHeight="true" outlineLevel="0" collapsed="false">
      <c r="A41" s="7" t="s">
        <v>63</v>
      </c>
      <c r="B41" s="9" t="s">
        <v>142</v>
      </c>
      <c r="C41" s="7" t="s">
        <v>141</v>
      </c>
      <c r="D41" s="9" t="s">
        <v>143</v>
      </c>
      <c r="E41" s="9" t="s">
        <v>235</v>
      </c>
    </row>
    <row r="42" customFormat="false" ht="27.75" hidden="false" customHeight="true" outlineLevel="0" collapsed="false">
      <c r="A42" s="7" t="s">
        <v>63</v>
      </c>
      <c r="B42" s="9" t="s">
        <v>160</v>
      </c>
      <c r="C42" s="7" t="s">
        <v>159</v>
      </c>
      <c r="D42" s="9" t="s">
        <v>161</v>
      </c>
      <c r="E42" s="9" t="s">
        <v>235</v>
      </c>
    </row>
    <row r="43" customFormat="false" ht="27.75" hidden="false" customHeight="true" outlineLevel="0" collapsed="false">
      <c r="A43" s="7" t="s">
        <v>63</v>
      </c>
      <c r="B43" s="9" t="s">
        <v>179</v>
      </c>
      <c r="C43" s="7" t="s">
        <v>43</v>
      </c>
      <c r="D43" s="9" t="s">
        <v>180</v>
      </c>
      <c r="E43" s="9" t="s">
        <v>235</v>
      </c>
    </row>
    <row r="44" customFormat="false" ht="27.75" hidden="false" customHeight="true" outlineLevel="0" collapsed="false">
      <c r="A44" s="7" t="s">
        <v>63</v>
      </c>
      <c r="B44" s="9" t="s">
        <v>193</v>
      </c>
      <c r="C44" s="7" t="s">
        <v>159</v>
      </c>
      <c r="D44" s="9" t="s">
        <v>194</v>
      </c>
      <c r="E44" s="9" t="s">
        <v>235</v>
      </c>
    </row>
    <row r="45" customFormat="false" ht="27.75" hidden="false" customHeight="true" outlineLevel="0" collapsed="false">
      <c r="A45" s="7" t="s">
        <v>63</v>
      </c>
      <c r="B45" s="9" t="s">
        <v>202</v>
      </c>
      <c r="C45" s="7" t="s">
        <v>122</v>
      </c>
      <c r="D45" s="9" t="s">
        <v>203</v>
      </c>
      <c r="E45" s="9" t="s">
        <v>235</v>
      </c>
    </row>
    <row r="46" customFormat="false" ht="27.75" hidden="false" customHeight="true" outlineLevel="0" collapsed="false">
      <c r="A46" s="7" t="s">
        <v>63</v>
      </c>
      <c r="B46" s="9" t="s">
        <v>212</v>
      </c>
      <c r="C46" s="7" t="s">
        <v>211</v>
      </c>
      <c r="D46" s="9" t="s">
        <v>213</v>
      </c>
      <c r="E46" s="9" t="s">
        <v>235</v>
      </c>
    </row>
    <row r="47" customFormat="false" ht="27.75" hidden="false" customHeight="true" outlineLevel="0" collapsed="false">
      <c r="A47" s="7" t="s">
        <v>63</v>
      </c>
      <c r="B47" s="9" t="s">
        <v>220</v>
      </c>
      <c r="C47" s="7" t="s">
        <v>85</v>
      </c>
      <c r="D47" s="9" t="s">
        <v>221</v>
      </c>
      <c r="E47" s="9" t="s">
        <v>235</v>
      </c>
    </row>
    <row r="48" customFormat="false" ht="27.75" hidden="false" customHeight="true" outlineLevel="0" collapsed="false">
      <c r="A48" s="7" t="s">
        <v>63</v>
      </c>
      <c r="B48" s="9" t="s">
        <v>229</v>
      </c>
      <c r="C48" s="7" t="s">
        <v>64</v>
      </c>
      <c r="D48" s="9" t="s">
        <v>230</v>
      </c>
      <c r="E48" s="9" t="s">
        <v>235</v>
      </c>
    </row>
    <row r="49" customFormat="false" ht="27.75" hidden="false" customHeight="true" outlineLevel="0" collapsed="false">
      <c r="A49" s="7" t="s">
        <v>63</v>
      </c>
      <c r="B49" s="9" t="s">
        <v>241</v>
      </c>
      <c r="C49" s="7" t="s">
        <v>242</v>
      </c>
      <c r="D49" s="9" t="s">
        <v>243</v>
      </c>
      <c r="E49" s="9" t="s">
        <v>235</v>
      </c>
    </row>
    <row r="50" customFormat="false" ht="27.75" hidden="false" customHeight="true" outlineLevel="0" collapsed="false">
      <c r="A50" s="7" t="s">
        <v>67</v>
      </c>
      <c r="B50" s="9" t="s">
        <v>69</v>
      </c>
      <c r="C50" s="7" t="s">
        <v>68</v>
      </c>
      <c r="D50" s="9" t="s">
        <v>70</v>
      </c>
      <c r="E50" s="9" t="s">
        <v>235</v>
      </c>
    </row>
    <row r="51" customFormat="false" ht="27.75" hidden="false" customHeight="true" outlineLevel="0" collapsed="false">
      <c r="A51" s="7" t="s">
        <v>67</v>
      </c>
      <c r="B51" s="9" t="s">
        <v>100</v>
      </c>
      <c r="C51" s="7" t="s">
        <v>99</v>
      </c>
      <c r="D51" s="9" t="s">
        <v>101</v>
      </c>
      <c r="E51" s="9" t="s">
        <v>235</v>
      </c>
    </row>
    <row r="52" customFormat="false" ht="27.75" hidden="false" customHeight="true" outlineLevel="0" collapsed="false">
      <c r="A52" s="7" t="s">
        <v>67</v>
      </c>
      <c r="B52" s="9" t="s">
        <v>123</v>
      </c>
      <c r="C52" s="7" t="s">
        <v>122</v>
      </c>
      <c r="D52" s="9" t="s">
        <v>124</v>
      </c>
      <c r="E52" s="9" t="s">
        <v>235</v>
      </c>
    </row>
    <row r="53" customFormat="false" ht="27.75" hidden="false" customHeight="true" outlineLevel="0" collapsed="false">
      <c r="A53" s="7" t="s">
        <v>67</v>
      </c>
      <c r="B53" s="9" t="s">
        <v>145</v>
      </c>
      <c r="C53" s="7" t="s">
        <v>144</v>
      </c>
      <c r="D53" s="9" t="s">
        <v>146</v>
      </c>
      <c r="E53" s="9" t="s">
        <v>235</v>
      </c>
    </row>
    <row r="54" customFormat="false" ht="27.75" hidden="false" customHeight="true" outlineLevel="0" collapsed="false">
      <c r="A54" s="7" t="s">
        <v>67</v>
      </c>
      <c r="B54" s="9" t="s">
        <v>163</v>
      </c>
      <c r="C54" s="7" t="s">
        <v>162</v>
      </c>
      <c r="D54" s="9" t="s">
        <v>164</v>
      </c>
      <c r="E54" s="9" t="s">
        <v>235</v>
      </c>
    </row>
    <row r="55" customFormat="false" ht="27.75" hidden="false" customHeight="true" outlineLevel="0" collapsed="false">
      <c r="A55" s="7" t="s">
        <v>67</v>
      </c>
      <c r="B55" s="9" t="s">
        <v>181</v>
      </c>
      <c r="C55" s="7" t="s">
        <v>170</v>
      </c>
      <c r="D55" s="9" t="s">
        <v>182</v>
      </c>
      <c r="E55" s="9" t="s">
        <v>235</v>
      </c>
    </row>
    <row r="56" customFormat="false" ht="27.75" hidden="false" customHeight="true" outlineLevel="0" collapsed="false">
      <c r="A56" s="16" t="s">
        <v>19</v>
      </c>
      <c r="B56" s="17" t="s">
        <v>60</v>
      </c>
      <c r="C56" s="16" t="s">
        <v>59</v>
      </c>
      <c r="D56" s="17" t="s">
        <v>61</v>
      </c>
      <c r="E56" s="17" t="s">
        <v>235</v>
      </c>
    </row>
    <row r="57" customFormat="false" ht="27.75" hidden="false" customHeight="true" outlineLevel="0" collapsed="false">
      <c r="A57" s="16" t="s">
        <v>19</v>
      </c>
      <c r="B57" s="17" t="s">
        <v>94</v>
      </c>
      <c r="C57" s="16" t="s">
        <v>93</v>
      </c>
      <c r="D57" s="17" t="s">
        <v>95</v>
      </c>
      <c r="E57" s="17" t="s">
        <v>235</v>
      </c>
    </row>
    <row r="58" customFormat="false" ht="27.75" hidden="false" customHeight="true" outlineLevel="0" collapsed="false">
      <c r="A58" s="16" t="s">
        <v>19</v>
      </c>
      <c r="B58" s="17" t="s">
        <v>118</v>
      </c>
      <c r="C58" s="16" t="s">
        <v>117</v>
      </c>
      <c r="D58" s="17" t="s">
        <v>119</v>
      </c>
      <c r="E58" s="17" t="s">
        <v>235</v>
      </c>
    </row>
    <row r="59" customFormat="false" ht="30" hidden="false" customHeight="true" outlineLevel="0" collapsed="false">
      <c r="A59" s="11" t="s">
        <v>244</v>
      </c>
      <c r="B59" s="13" t="s">
        <v>44</v>
      </c>
      <c r="C59" s="11" t="s">
        <v>43</v>
      </c>
      <c r="D59" s="13" t="s">
        <v>45</v>
      </c>
      <c r="E59" s="13" t="s">
        <v>235</v>
      </c>
    </row>
    <row r="60" customFormat="false" ht="30" hidden="false" customHeight="true" outlineLevel="0" collapsed="false">
      <c r="A60" s="11" t="s">
        <v>245</v>
      </c>
      <c r="B60" s="13" t="s">
        <v>86</v>
      </c>
      <c r="C60" s="11" t="s">
        <v>85</v>
      </c>
      <c r="D60" s="13" t="s">
        <v>87</v>
      </c>
      <c r="E60" s="13" t="s">
        <v>235</v>
      </c>
    </row>
    <row r="61" customFormat="false" ht="30" hidden="false" customHeight="true" outlineLevel="0" collapsed="false">
      <c r="A61" s="11" t="s">
        <v>246</v>
      </c>
      <c r="B61" s="13" t="s">
        <v>74</v>
      </c>
      <c r="C61" s="11" t="s">
        <v>73</v>
      </c>
      <c r="D61" s="13" t="s">
        <v>75</v>
      </c>
      <c r="E61" s="13" t="s">
        <v>235</v>
      </c>
    </row>
    <row r="62" customFormat="false" ht="30" hidden="false" customHeight="true" outlineLevel="0" collapsed="false">
      <c r="A62" s="11" t="s">
        <v>244</v>
      </c>
      <c r="B62" s="13" t="s">
        <v>111</v>
      </c>
      <c r="C62" s="11" t="s">
        <v>59</v>
      </c>
      <c r="D62" s="13" t="s">
        <v>112</v>
      </c>
      <c r="E62" s="13" t="s">
        <v>235</v>
      </c>
    </row>
    <row r="63" customFormat="false" ht="30" hidden="false" customHeight="true" outlineLevel="0" collapsed="false">
      <c r="A63" s="11" t="s">
        <v>247</v>
      </c>
      <c r="B63" s="13" t="s">
        <v>153</v>
      </c>
      <c r="C63" s="11" t="s">
        <v>105</v>
      </c>
      <c r="D63" s="13" t="s">
        <v>154</v>
      </c>
      <c r="E63" s="13" t="s">
        <v>235</v>
      </c>
    </row>
    <row r="64" customFormat="false" ht="30" hidden="false" customHeight="true" outlineLevel="0" collapsed="false">
      <c r="A64" s="11" t="s">
        <v>245</v>
      </c>
      <c r="B64" s="13" t="s">
        <v>171</v>
      </c>
      <c r="C64" s="11" t="s">
        <v>170</v>
      </c>
      <c r="D64" s="13" t="s">
        <v>172</v>
      </c>
      <c r="E64" s="13" t="s">
        <v>235</v>
      </c>
    </row>
    <row r="65" customFormat="false" ht="30" hidden="false" customHeight="true" outlineLevel="0" collapsed="false">
      <c r="A65" s="11" t="s">
        <v>246</v>
      </c>
      <c r="B65" s="13" t="s">
        <v>103</v>
      </c>
      <c r="C65" s="11" t="s">
        <v>102</v>
      </c>
      <c r="D65" s="13" t="s">
        <v>104</v>
      </c>
      <c r="E65" s="13" t="s">
        <v>235</v>
      </c>
    </row>
    <row r="66" customFormat="false" ht="30" hidden="false" customHeight="true" outlineLevel="0" collapsed="false">
      <c r="A66" s="11" t="s">
        <v>244</v>
      </c>
      <c r="B66" s="13" t="s">
        <v>188</v>
      </c>
      <c r="C66" s="11" t="s">
        <v>136</v>
      </c>
      <c r="D66" s="13" t="s">
        <v>189</v>
      </c>
      <c r="E66" s="13" t="s">
        <v>235</v>
      </c>
    </row>
    <row r="67" customFormat="false" ht="30" hidden="false" customHeight="true" outlineLevel="0" collapsed="false">
      <c r="A67" s="11" t="s">
        <v>245</v>
      </c>
      <c r="B67" s="13" t="s">
        <v>206</v>
      </c>
      <c r="C67" s="11" t="s">
        <v>159</v>
      </c>
      <c r="D67" s="13" t="s">
        <v>207</v>
      </c>
      <c r="E67" s="13" t="s">
        <v>235</v>
      </c>
    </row>
    <row r="68" customFormat="false" ht="30" hidden="false" customHeight="true" outlineLevel="0" collapsed="false">
      <c r="A68" s="11" t="s">
        <v>247</v>
      </c>
      <c r="B68" s="13" t="s">
        <v>216</v>
      </c>
      <c r="C68" s="11" t="s">
        <v>50</v>
      </c>
      <c r="D68" s="13" t="s">
        <v>217</v>
      </c>
      <c r="E68" s="13" t="s">
        <v>235</v>
      </c>
    </row>
    <row r="69" customFormat="false" ht="30" hidden="false" customHeight="true" outlineLevel="0" collapsed="false">
      <c r="A69" s="11" t="s">
        <v>246</v>
      </c>
      <c r="B69" s="13" t="s">
        <v>126</v>
      </c>
      <c r="C69" s="11" t="s">
        <v>125</v>
      </c>
      <c r="D69" s="13" t="s">
        <v>127</v>
      </c>
      <c r="E69" s="13" t="s">
        <v>235</v>
      </c>
    </row>
    <row r="70" customFormat="false" ht="30" hidden="false" customHeight="true" outlineLevel="0" collapsed="false">
      <c r="A70" s="11" t="s">
        <v>244</v>
      </c>
      <c r="B70" s="13" t="s">
        <v>225</v>
      </c>
      <c r="C70" s="11" t="s">
        <v>108</v>
      </c>
      <c r="D70" s="13" t="s">
        <v>226</v>
      </c>
      <c r="E70" s="13" t="s">
        <v>235</v>
      </c>
    </row>
    <row r="71" customFormat="false" ht="30" hidden="false" customHeight="true" outlineLevel="0" collapsed="false">
      <c r="A71" s="18" t="s">
        <v>248</v>
      </c>
      <c r="B71" s="19" t="s">
        <v>134</v>
      </c>
      <c r="C71" s="18" t="s">
        <v>85</v>
      </c>
      <c r="D71" s="19" t="s">
        <v>135</v>
      </c>
      <c r="E71" s="19" t="s">
        <v>249</v>
      </c>
    </row>
    <row r="72" customFormat="false" ht="30" hidden="false" customHeight="true" outlineLevel="0" collapsed="false">
      <c r="A72" s="18" t="s">
        <v>250</v>
      </c>
      <c r="B72" s="19" t="s">
        <v>198</v>
      </c>
      <c r="C72" s="18" t="s">
        <v>43</v>
      </c>
      <c r="D72" s="19" t="s">
        <v>199</v>
      </c>
      <c r="E72" s="19" t="s">
        <v>251</v>
      </c>
    </row>
  </sheetData>
  <autoFilter ref="A1:E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56"/>
  </cols>
  <sheetData>
    <row r="1" customFormat="false" ht="16.15" hidden="false" customHeight="false" outlineLevel="0" collapsed="false">
      <c r="A1" s="20" t="s">
        <v>252</v>
      </c>
    </row>
    <row r="3" customFormat="false" ht="25.5" hidden="false" customHeight="true" outlineLevel="0" collapsed="false">
      <c r="A3" s="6" t="s">
        <v>253</v>
      </c>
      <c r="B3" s="6" t="s">
        <v>254</v>
      </c>
      <c r="C3" s="6" t="s">
        <v>255</v>
      </c>
    </row>
    <row r="4" customFormat="false" ht="30" hidden="false" customHeight="true" outlineLevel="0" collapsed="false">
      <c r="A4" s="7" t="s">
        <v>256</v>
      </c>
      <c r="B4" s="9" t="s">
        <v>257</v>
      </c>
      <c r="C4" s="9" t="s">
        <v>258</v>
      </c>
    </row>
    <row r="5" customFormat="false" ht="30" hidden="false" customHeight="true" outlineLevel="0" collapsed="false">
      <c r="A5" s="7" t="s">
        <v>256</v>
      </c>
      <c r="B5" s="9" t="s">
        <v>259</v>
      </c>
      <c r="C5" s="9" t="s">
        <v>260</v>
      </c>
    </row>
    <row r="6" customFormat="false" ht="30" hidden="false" customHeight="true" outlineLevel="0" collapsed="false">
      <c r="A6" s="7" t="s">
        <v>256</v>
      </c>
      <c r="B6" s="9" t="s">
        <v>261</v>
      </c>
      <c r="C6" s="9" t="s">
        <v>262</v>
      </c>
    </row>
    <row r="7" customFormat="false" ht="30" hidden="false" customHeight="true" outlineLevel="0" collapsed="false">
      <c r="A7" s="7" t="s">
        <v>256</v>
      </c>
      <c r="B7" s="9" t="s">
        <v>263</v>
      </c>
      <c r="C7" s="9" t="s">
        <v>264</v>
      </c>
    </row>
    <row r="8" customFormat="false" ht="30" hidden="false" customHeight="true" outlineLevel="0" collapsed="false">
      <c r="A8" s="7" t="s">
        <v>256</v>
      </c>
      <c r="B8" s="9" t="s">
        <v>265</v>
      </c>
      <c r="C8" s="9" t="s">
        <v>266</v>
      </c>
    </row>
    <row r="9" customFormat="false" ht="30" hidden="false" customHeight="true" outlineLevel="0" collapsed="false">
      <c r="A9" s="7" t="s">
        <v>256</v>
      </c>
      <c r="B9" s="9" t="s">
        <v>267</v>
      </c>
      <c r="C9" s="9" t="s">
        <v>268</v>
      </c>
    </row>
    <row r="10" customFormat="false" ht="30" hidden="false" customHeight="true" outlineLevel="0" collapsed="false">
      <c r="A10" s="7" t="s">
        <v>256</v>
      </c>
      <c r="B10" s="9" t="s">
        <v>269</v>
      </c>
      <c r="C10" s="9" t="s">
        <v>270</v>
      </c>
    </row>
    <row r="11" customFormat="false" ht="30" hidden="false" customHeight="true" outlineLevel="0" collapsed="false">
      <c r="A11" s="7" t="s">
        <v>256</v>
      </c>
      <c r="B11" s="9" t="s">
        <v>271</v>
      </c>
      <c r="C11" s="9" t="s">
        <v>272</v>
      </c>
    </row>
    <row r="12" customFormat="false" ht="30" hidden="false" customHeight="true" outlineLevel="0" collapsed="false">
      <c r="A12" s="18" t="s">
        <v>41</v>
      </c>
      <c r="B12" s="19" t="s">
        <v>273</v>
      </c>
      <c r="C12" s="19" t="s">
        <v>274</v>
      </c>
    </row>
    <row r="13" customFormat="false" ht="30" hidden="false" customHeight="true" outlineLevel="0" collapsed="false">
      <c r="A13" s="18" t="s">
        <v>41</v>
      </c>
      <c r="B13" s="19" t="s">
        <v>275</v>
      </c>
      <c r="C13" s="19" t="s">
        <v>276</v>
      </c>
    </row>
    <row r="14" customFormat="false" ht="30" hidden="false" customHeight="true" outlineLevel="0" collapsed="false">
      <c r="A14" s="18" t="s">
        <v>41</v>
      </c>
      <c r="B14" s="19" t="s">
        <v>277</v>
      </c>
      <c r="C14" s="19" t="s">
        <v>278</v>
      </c>
    </row>
    <row r="15" customFormat="false" ht="30" hidden="false" customHeight="true" outlineLevel="0" collapsed="false">
      <c r="A15" s="18" t="s">
        <v>41</v>
      </c>
      <c r="B15" s="19" t="s">
        <v>279</v>
      </c>
      <c r="C15" s="19" t="s">
        <v>280</v>
      </c>
    </row>
    <row r="16" customFormat="false" ht="30" hidden="false" customHeight="true" outlineLevel="0" collapsed="false">
      <c r="A16" s="18" t="s">
        <v>41</v>
      </c>
      <c r="B16" s="19" t="s">
        <v>281</v>
      </c>
      <c r="C16" s="19" t="s">
        <v>282</v>
      </c>
    </row>
    <row r="19" customFormat="false" ht="16.15" hidden="false" customHeight="false" outlineLevel="0" collapsed="false">
      <c r="A19" s="20" t="s">
        <v>283</v>
      </c>
    </row>
    <row r="21" customFormat="false" ht="25.5" hidden="false" customHeight="true" outlineLevel="0" collapsed="false">
      <c r="A21" s="6" t="s">
        <v>284</v>
      </c>
      <c r="B21" s="6" t="s">
        <v>285</v>
      </c>
      <c r="C21" s="6" t="s">
        <v>286</v>
      </c>
    </row>
    <row r="22" customFormat="false" ht="30" hidden="false" customHeight="true" outlineLevel="0" collapsed="false">
      <c r="A22" s="9" t="s">
        <v>287</v>
      </c>
      <c r="B22" s="17" t="s">
        <v>288</v>
      </c>
      <c r="C22" s="19" t="s">
        <v>289</v>
      </c>
    </row>
    <row r="23" customFormat="false" ht="30" hidden="false" customHeight="true" outlineLevel="0" collapsed="false">
      <c r="A23" s="9" t="s">
        <v>290</v>
      </c>
      <c r="B23" s="17" t="s">
        <v>291</v>
      </c>
      <c r="C23" s="19" t="s">
        <v>292</v>
      </c>
    </row>
    <row r="24" customFormat="false" ht="30" hidden="false" customHeight="true" outlineLevel="0" collapsed="false">
      <c r="A24" s="9" t="s">
        <v>293</v>
      </c>
      <c r="B24" s="17" t="s">
        <v>294</v>
      </c>
      <c r="C24" s="19" t="s">
        <v>295</v>
      </c>
    </row>
    <row r="25" customFormat="false" ht="30" hidden="false" customHeight="true" outlineLevel="0" collapsed="false">
      <c r="A25" s="9" t="s">
        <v>296</v>
      </c>
      <c r="B25" s="17" t="s">
        <v>297</v>
      </c>
      <c r="C25" s="19" t="s">
        <v>298</v>
      </c>
    </row>
    <row r="26" customFormat="false" ht="30" hidden="false" customHeight="true" outlineLevel="0" collapsed="false">
      <c r="A26" s="9" t="s">
        <v>299</v>
      </c>
      <c r="B26" s="17" t="s">
        <v>300</v>
      </c>
      <c r="C26" s="19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20" t="s">
        <v>302</v>
      </c>
    </row>
    <row r="2" customFormat="false" ht="15" hidden="false" customHeight="false" outlineLevel="0" collapsed="false">
      <c r="A2" s="2" t="s">
        <v>303</v>
      </c>
    </row>
    <row r="4" customFormat="false" ht="25.5" hidden="false" customHeight="true" outlineLevel="0" collapsed="false">
      <c r="A4" s="6" t="s">
        <v>304</v>
      </c>
      <c r="B4" s="6" t="s">
        <v>305</v>
      </c>
      <c r="C4" s="6" t="s">
        <v>306</v>
      </c>
      <c r="D4" s="6" t="s">
        <v>307</v>
      </c>
    </row>
    <row r="5" customFormat="false" ht="24" hidden="false" customHeight="true" outlineLevel="0" collapsed="false">
      <c r="A5" s="7" t="n">
        <v>1</v>
      </c>
      <c r="B5" s="9" t="s">
        <v>308</v>
      </c>
      <c r="C5" s="7"/>
      <c r="D5" s="7"/>
    </row>
    <row r="6" customFormat="false" ht="24" hidden="false" customHeight="true" outlineLevel="0" collapsed="false">
      <c r="A6" s="7" t="n">
        <v>2</v>
      </c>
      <c r="B6" s="9" t="s">
        <v>309</v>
      </c>
      <c r="C6" s="7"/>
      <c r="D6" s="7"/>
    </row>
    <row r="7" customFormat="false" ht="24" hidden="false" customHeight="true" outlineLevel="0" collapsed="false">
      <c r="A7" s="7" t="n">
        <v>3</v>
      </c>
      <c r="B7" s="9" t="s">
        <v>310</v>
      </c>
      <c r="C7" s="7"/>
      <c r="D7" s="7"/>
    </row>
    <row r="8" customFormat="false" ht="24" hidden="false" customHeight="true" outlineLevel="0" collapsed="false">
      <c r="A8" s="18" t="n">
        <v>4</v>
      </c>
      <c r="B8" s="19" t="s">
        <v>311</v>
      </c>
      <c r="C8" s="18" t="s">
        <v>235</v>
      </c>
      <c r="D8" s="18"/>
    </row>
    <row r="9" customFormat="false" ht="24" hidden="false" customHeight="true" outlineLevel="0" collapsed="false">
      <c r="A9" s="18" t="n">
        <v>5</v>
      </c>
      <c r="B9" s="19" t="s">
        <v>312</v>
      </c>
      <c r="C9" s="18" t="s">
        <v>235</v>
      </c>
      <c r="D9" s="18"/>
    </row>
    <row r="10" customFormat="false" ht="24" hidden="false" customHeight="true" outlineLevel="0" collapsed="false">
      <c r="A10" s="7" t="n">
        <v>6</v>
      </c>
      <c r="B10" s="9" t="s">
        <v>313</v>
      </c>
      <c r="C10" s="7"/>
      <c r="D10" s="7"/>
    </row>
    <row r="11" customFormat="false" ht="24" hidden="false" customHeight="true" outlineLevel="0" collapsed="false">
      <c r="A11" s="7" t="n">
        <v>7</v>
      </c>
      <c r="B11" s="9" t="s">
        <v>314</v>
      </c>
      <c r="C11" s="7"/>
      <c r="D11" s="7"/>
    </row>
    <row r="12" customFormat="false" ht="15" hidden="false" customHeight="false" outlineLevel="0" collapsed="false">
      <c r="B12" s="3" t="s">
        <v>315</v>
      </c>
      <c r="D12" s="21" t="str">
        <f aca="false">IF(OR(D8&lt;&gt;"x",D9&lt;&gt;"x"),"não publica — eliminatória aberta",IF(COUNTIF(D5:D11,"x")=7,"aprova","ajuste pontual: faltam "&amp;7-COUNTIF(D5:D11,"x")))</f>
        <v>não publica — eliminatória aberta</v>
      </c>
    </row>
    <row r="14" customFormat="false" ht="15" hidden="false" customHeight="false" outlineLevel="0" collapsed="false">
      <c r="B14" s="2" t="s">
        <v>316</v>
      </c>
      <c r="D14" s="22" t="n">
        <f aca="false">COUNTIF(D5:D11,"x")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8"/>
  </cols>
  <sheetData>
    <row r="1" customFormat="false" ht="16.15" hidden="false" customHeight="false" outlineLevel="0" collapsed="false">
      <c r="A1" s="20" t="s">
        <v>317</v>
      </c>
    </row>
    <row r="2" customFormat="false" ht="15" hidden="false" customHeight="false" outlineLevel="0" collapsed="false">
      <c r="A2" s="23" t="s">
        <v>318</v>
      </c>
      <c r="B2" s="23"/>
      <c r="C2" s="23"/>
      <c r="D2" s="23"/>
      <c r="E2" s="23"/>
      <c r="F2" s="23"/>
      <c r="G2" s="23"/>
      <c r="H2" s="23"/>
    </row>
    <row r="4" customFormat="false" ht="25.5" hidden="false" customHeight="true" outlineLevel="0" collapsed="false">
      <c r="A4" s="6" t="s">
        <v>319</v>
      </c>
      <c r="B4" s="6" t="s">
        <v>320</v>
      </c>
      <c r="C4" s="6" t="s">
        <v>321</v>
      </c>
      <c r="D4" s="6" t="s">
        <v>322</v>
      </c>
      <c r="E4" s="6" t="s">
        <v>323</v>
      </c>
      <c r="F4" s="6" t="s">
        <v>324</v>
      </c>
      <c r="G4" s="6" t="s">
        <v>325</v>
      </c>
      <c r="H4" s="6" t="s">
        <v>326</v>
      </c>
    </row>
    <row r="5" customFormat="false" ht="15" hidden="false" customHeight="false" outlineLevel="0" collapsed="false">
      <c r="A5" s="11" t="s">
        <v>327</v>
      </c>
      <c r="B5" s="11" t="s">
        <v>328</v>
      </c>
      <c r="C5" s="12" t="n">
        <v>46317</v>
      </c>
      <c r="D5" s="11" t="n">
        <v>120</v>
      </c>
      <c r="E5" s="12" t="n">
        <v>46331</v>
      </c>
      <c r="F5" s="11" t="n">
        <v>40</v>
      </c>
      <c r="G5" s="24" t="n">
        <f aca="false">IF(OR(C5="",E5=""),"",E5-C5)</f>
        <v>14</v>
      </c>
      <c r="H5" s="13" t="s">
        <v>329</v>
      </c>
    </row>
    <row r="6" customFormat="false" ht="15" hidden="false" customHeight="false" outlineLevel="0" collapsed="false">
      <c r="A6" s="25"/>
      <c r="B6" s="25"/>
      <c r="C6" s="26"/>
      <c r="D6" s="25"/>
      <c r="E6" s="26"/>
      <c r="F6" s="25"/>
      <c r="G6" s="27" t="str">
        <f aca="false">IF(OR(C6="",E6=""),"",E6-C6)</f>
        <v/>
      </c>
      <c r="H6" s="25"/>
    </row>
    <row r="7" customFormat="false" ht="15" hidden="false" customHeight="false" outlineLevel="0" collapsed="false">
      <c r="A7" s="25"/>
      <c r="B7" s="25"/>
      <c r="C7" s="26"/>
      <c r="D7" s="25"/>
      <c r="E7" s="26"/>
      <c r="F7" s="25"/>
      <c r="G7" s="27" t="str">
        <f aca="false">IF(OR(C7="",E7=""),"",E7-C7)</f>
        <v/>
      </c>
      <c r="H7" s="25"/>
    </row>
    <row r="8" customFormat="false" ht="15" hidden="false" customHeight="false" outlineLevel="0" collapsed="false">
      <c r="A8" s="25"/>
      <c r="B8" s="25"/>
      <c r="C8" s="26"/>
      <c r="D8" s="25"/>
      <c r="E8" s="26"/>
      <c r="F8" s="25"/>
      <c r="G8" s="27" t="str">
        <f aca="false">IF(OR(C8="",E8=""),"",E8-C8)</f>
        <v/>
      </c>
      <c r="H8" s="25"/>
    </row>
    <row r="9" customFormat="false" ht="15" hidden="false" customHeight="false" outlineLevel="0" collapsed="false">
      <c r="A9" s="25"/>
      <c r="B9" s="25"/>
      <c r="C9" s="26"/>
      <c r="D9" s="25"/>
      <c r="E9" s="26"/>
      <c r="F9" s="25"/>
      <c r="G9" s="27" t="str">
        <f aca="false">IF(OR(C9="",E9=""),"",E9-C9)</f>
        <v/>
      </c>
      <c r="H9" s="25"/>
    </row>
    <row r="10" customFormat="false" ht="15" hidden="false" customHeight="false" outlineLevel="0" collapsed="false">
      <c r="A10" s="25"/>
      <c r="B10" s="25"/>
      <c r="C10" s="26"/>
      <c r="D10" s="25"/>
      <c r="E10" s="26"/>
      <c r="F10" s="25"/>
      <c r="G10" s="27" t="str">
        <f aca="false">IF(OR(C10="",E10=""),"",E10-C10)</f>
        <v/>
      </c>
      <c r="H10" s="25"/>
    </row>
    <row r="11" customFormat="false" ht="15" hidden="false" customHeight="false" outlineLevel="0" collapsed="false">
      <c r="A11" s="25"/>
      <c r="B11" s="25"/>
      <c r="C11" s="26"/>
      <c r="D11" s="25"/>
      <c r="E11" s="26"/>
      <c r="F11" s="25"/>
      <c r="G11" s="27" t="str">
        <f aca="false">IF(OR(C11="",E11=""),"",E11-C11)</f>
        <v/>
      </c>
      <c r="H11" s="25"/>
    </row>
    <row r="12" customFormat="false" ht="15" hidden="false" customHeight="false" outlineLevel="0" collapsed="false">
      <c r="A12" s="25"/>
      <c r="B12" s="25"/>
      <c r="C12" s="26"/>
      <c r="D12" s="25"/>
      <c r="E12" s="26"/>
      <c r="F12" s="25"/>
      <c r="G12" s="27" t="str">
        <f aca="false">IF(OR(C12="",E12=""),"",E12-C12)</f>
        <v/>
      </c>
      <c r="H12" s="25"/>
    </row>
    <row r="13" customFormat="false" ht="15" hidden="false" customHeight="false" outlineLevel="0" collapsed="false">
      <c r="A13" s="25"/>
      <c r="B13" s="25"/>
      <c r="C13" s="26"/>
      <c r="D13" s="25"/>
      <c r="E13" s="26"/>
      <c r="F13" s="25"/>
      <c r="G13" s="27" t="str">
        <f aca="false">IF(OR(C13="",E13=""),"",E13-C13)</f>
        <v/>
      </c>
      <c r="H13" s="25"/>
    </row>
    <row r="14" customFormat="false" ht="15" hidden="false" customHeight="false" outlineLevel="0" collapsed="false">
      <c r="A14" s="25"/>
      <c r="B14" s="25"/>
      <c r="C14" s="26"/>
      <c r="D14" s="25"/>
      <c r="E14" s="26"/>
      <c r="F14" s="25"/>
      <c r="G14" s="27" t="str">
        <f aca="false">IF(OR(C14="",E14=""),"",E14-C14)</f>
        <v/>
      </c>
      <c r="H14" s="25"/>
    </row>
    <row r="15" customFormat="false" ht="15" hidden="false" customHeight="false" outlineLevel="0" collapsed="false">
      <c r="A15" s="25"/>
      <c r="B15" s="25"/>
      <c r="C15" s="26"/>
      <c r="D15" s="25"/>
      <c r="E15" s="26"/>
      <c r="F15" s="25"/>
      <c r="G15" s="27" t="str">
        <f aca="false">IF(OR(C15="",E15=""),"",E15-C15)</f>
        <v/>
      </c>
      <c r="H15" s="25"/>
    </row>
    <row r="16" customFormat="false" ht="15" hidden="false" customHeight="false" outlineLevel="0" collapsed="false">
      <c r="A16" s="25"/>
      <c r="B16" s="25"/>
      <c r="C16" s="26"/>
      <c r="D16" s="25"/>
      <c r="E16" s="26"/>
      <c r="F16" s="25"/>
      <c r="G16" s="27" t="str">
        <f aca="false">IF(OR(C16="",E16=""),"",E16-C16)</f>
        <v/>
      </c>
      <c r="H16" s="25"/>
    </row>
    <row r="17" customFormat="false" ht="15" hidden="false" customHeight="false" outlineLevel="0" collapsed="false">
      <c r="A17" s="25"/>
      <c r="B17" s="25"/>
      <c r="C17" s="26"/>
      <c r="D17" s="25"/>
      <c r="E17" s="26"/>
      <c r="F17" s="25"/>
      <c r="G17" s="27" t="str">
        <f aca="false">IF(OR(C17="",E17=""),"",E17-C17)</f>
        <v/>
      </c>
      <c r="H17" s="25"/>
    </row>
    <row r="18" customFormat="false" ht="15" hidden="false" customHeight="false" outlineLevel="0" collapsed="false">
      <c r="A18" s="25"/>
      <c r="B18" s="25"/>
      <c r="C18" s="26"/>
      <c r="D18" s="25"/>
      <c r="E18" s="26"/>
      <c r="F18" s="25"/>
      <c r="G18" s="27" t="str">
        <f aca="false">IF(OR(C18="",E18=""),"",E18-C18)</f>
        <v/>
      </c>
      <c r="H18" s="25"/>
    </row>
    <row r="19" customFormat="false" ht="15" hidden="false" customHeight="false" outlineLevel="0" collapsed="false">
      <c r="A19" s="25"/>
      <c r="B19" s="25"/>
      <c r="C19" s="26"/>
      <c r="D19" s="25"/>
      <c r="E19" s="26"/>
      <c r="F19" s="25"/>
      <c r="G19" s="27" t="str">
        <f aca="false">IF(OR(C19="",E19=""),"",E19-C19)</f>
        <v/>
      </c>
      <c r="H19" s="25"/>
    </row>
    <row r="20" customFormat="false" ht="15" hidden="false" customHeight="false" outlineLevel="0" collapsed="false">
      <c r="A20" s="25"/>
      <c r="B20" s="25"/>
      <c r="C20" s="26"/>
      <c r="D20" s="25"/>
      <c r="E20" s="26"/>
      <c r="F20" s="25"/>
      <c r="G20" s="27" t="str">
        <f aca="false">IF(OR(C20="",E20=""),"",E20-C20)</f>
        <v/>
      </c>
      <c r="H20" s="25"/>
    </row>
    <row r="23" customFormat="false" ht="15" hidden="false" customHeight="false" outlineLevel="0" collapsed="false">
      <c r="A23" s="28" t="s">
        <v>330</v>
      </c>
      <c r="D23" s="29" t="str">
        <f aca="false">IFERROR(ROUND(AVERAGE(F6:F20)/AVERAGE(G6:G20)*30,0),"sem dados ainda")</f>
        <v>sem dados ainda</v>
      </c>
    </row>
    <row r="24" customFormat="false" ht="15" hidden="false" customHeight="false" outlineLevel="0" collapsed="false">
      <c r="A24" s="30" t="s">
        <v>331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20" t="s">
        <v>332</v>
      </c>
    </row>
    <row r="3" customFormat="false" ht="25.5" hidden="false" customHeight="true" outlineLevel="0" collapsed="false">
      <c r="A3" s="6" t="s">
        <v>333</v>
      </c>
      <c r="B3" s="6" t="s">
        <v>334</v>
      </c>
      <c r="C3" s="6" t="s">
        <v>335</v>
      </c>
    </row>
    <row r="4" customFormat="false" ht="27.75" hidden="false" customHeight="true" outlineLevel="0" collapsed="false">
      <c r="A4" s="7" t="s">
        <v>336</v>
      </c>
      <c r="B4" s="9" t="s">
        <v>337</v>
      </c>
      <c r="C4" s="9" t="s">
        <v>338</v>
      </c>
    </row>
    <row r="5" customFormat="false" ht="27.75" hidden="false" customHeight="true" outlineLevel="0" collapsed="false">
      <c r="A5" s="7" t="s">
        <v>339</v>
      </c>
      <c r="B5" s="9" t="s">
        <v>340</v>
      </c>
      <c r="C5" s="9" t="s">
        <v>341</v>
      </c>
    </row>
    <row r="6" customFormat="false" ht="27.75" hidden="false" customHeight="true" outlineLevel="0" collapsed="false">
      <c r="A6" s="7" t="s">
        <v>342</v>
      </c>
      <c r="B6" s="9" t="s">
        <v>343</v>
      </c>
      <c r="C6" s="9" t="s">
        <v>344</v>
      </c>
    </row>
    <row r="7" customFormat="false" ht="27.75" hidden="false" customHeight="true" outlineLevel="0" collapsed="false">
      <c r="A7" s="7" t="s">
        <v>342</v>
      </c>
      <c r="B7" s="9" t="s">
        <v>345</v>
      </c>
      <c r="C7" s="9" t="s">
        <v>346</v>
      </c>
    </row>
    <row r="8" customFormat="false" ht="27.75" hidden="false" customHeight="true" outlineLevel="0" collapsed="false">
      <c r="A8" s="7" t="s">
        <v>347</v>
      </c>
      <c r="B8" s="9" t="s">
        <v>348</v>
      </c>
      <c r="C8" s="9" t="s">
        <v>349</v>
      </c>
    </row>
    <row r="9" customFormat="false" ht="27.75" hidden="false" customHeight="true" outlineLevel="0" collapsed="false">
      <c r="A9" s="7" t="s">
        <v>347</v>
      </c>
      <c r="B9" s="9" t="s">
        <v>350</v>
      </c>
      <c r="C9" s="9" t="s">
        <v>351</v>
      </c>
    </row>
    <row r="12" customFormat="false" ht="15" hidden="false" customHeight="false" outlineLevel="0" collapsed="false">
      <c r="A12" s="5" t="s">
        <v>352</v>
      </c>
    </row>
    <row r="14" customFormat="false" ht="25.5" hidden="false" customHeight="true" outlineLevel="0" collapsed="false">
      <c r="A14" s="6" t="s">
        <v>353</v>
      </c>
      <c r="B14" s="6" t="s">
        <v>354</v>
      </c>
      <c r="C14" s="6" t="s">
        <v>355</v>
      </c>
    </row>
    <row r="15" customFormat="false" ht="25.5" hidden="false" customHeight="true" outlineLevel="0" collapsed="false">
      <c r="A15" s="7" t="s">
        <v>54</v>
      </c>
      <c r="B15" s="7" t="s">
        <v>356</v>
      </c>
      <c r="C15" s="9" t="s">
        <v>357</v>
      </c>
    </row>
    <row r="16" customFormat="false" ht="25.5" hidden="false" customHeight="true" outlineLevel="0" collapsed="false">
      <c r="A16" s="7" t="s">
        <v>81</v>
      </c>
      <c r="B16" s="7" t="s">
        <v>358</v>
      </c>
      <c r="C16" s="9" t="s">
        <v>359</v>
      </c>
    </row>
    <row r="17" customFormat="false" ht="25.5" hidden="false" customHeight="true" outlineLevel="0" collapsed="false">
      <c r="A17" s="7" t="s">
        <v>49</v>
      </c>
      <c r="B17" s="7" t="s">
        <v>358</v>
      </c>
      <c r="C17" s="9" t="s">
        <v>360</v>
      </c>
    </row>
    <row r="18" customFormat="false" ht="25.5" hidden="false" customHeight="true" outlineLevel="0" collapsed="false">
      <c r="A18" s="7" t="s">
        <v>63</v>
      </c>
      <c r="B18" s="7" t="s">
        <v>358</v>
      </c>
      <c r="C18" s="9" t="s">
        <v>361</v>
      </c>
    </row>
    <row r="19" customFormat="false" ht="25.5" hidden="false" customHeight="true" outlineLevel="0" collapsed="false">
      <c r="A19" s="7" t="s">
        <v>67</v>
      </c>
      <c r="B19" s="7" t="s">
        <v>362</v>
      </c>
      <c r="C19" s="9" t="s">
        <v>363</v>
      </c>
    </row>
    <row r="22" customFormat="false" ht="15" hidden="false" customHeight="false" outlineLevel="0" collapsed="false">
      <c r="A22" s="5" t="s">
        <v>364</v>
      </c>
    </row>
    <row r="24" customFormat="false" ht="25.5" hidden="false" customHeight="true" outlineLevel="0" collapsed="false">
      <c r="A24" s="6" t="s">
        <v>365</v>
      </c>
      <c r="B24" s="6" t="s">
        <v>26</v>
      </c>
      <c r="C24" s="6" t="s">
        <v>355</v>
      </c>
    </row>
    <row r="25" customFormat="false" ht="25.5" hidden="false" customHeight="true" outlineLevel="0" collapsed="false">
      <c r="A25" s="11" t="s">
        <v>366</v>
      </c>
      <c r="B25" s="11" t="s">
        <v>367</v>
      </c>
      <c r="C25" s="13" t="s">
        <v>368</v>
      </c>
    </row>
    <row r="26" customFormat="false" ht="25.5" hidden="false" customHeight="true" outlineLevel="0" collapsed="false">
      <c r="A26" s="11" t="s">
        <v>369</v>
      </c>
      <c r="B26" s="11" t="s">
        <v>370</v>
      </c>
      <c r="C26" s="13" t="s">
        <v>371</v>
      </c>
    </row>
    <row r="27" customFormat="false" ht="25.5" hidden="false" customHeight="true" outlineLevel="0" collapsed="false">
      <c r="A27" s="16" t="s">
        <v>372</v>
      </c>
      <c r="B27" s="16" t="s">
        <v>373</v>
      </c>
      <c r="C27" s="17" t="s">
        <v>374</v>
      </c>
    </row>
    <row r="28" customFormat="false" ht="25.5" hidden="false" customHeight="true" outlineLevel="0" collapsed="false">
      <c r="A28" s="16" t="s">
        <v>375</v>
      </c>
      <c r="B28" s="16" t="s">
        <v>373</v>
      </c>
      <c r="C28" s="17" t="s">
        <v>376</v>
      </c>
    </row>
    <row r="29" customFormat="false" ht="25.5" hidden="false" customHeight="true" outlineLevel="0" collapsed="false">
      <c r="A29" s="16" t="s">
        <v>377</v>
      </c>
      <c r="B29" s="16" t="s">
        <v>373</v>
      </c>
      <c r="C29" s="17" t="s">
        <v>378</v>
      </c>
    </row>
    <row r="30" customFormat="false" ht="25.5" hidden="false" customHeight="true" outlineLevel="0" collapsed="false">
      <c r="A30" s="16" t="s">
        <v>379</v>
      </c>
      <c r="B30" s="16" t="s">
        <v>373</v>
      </c>
      <c r="C30" s="17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2026-10-14T13:52:57Z</dcterms:created>
  <dc:creator>openpyxl</dc:creator>
  <dc:description/>
  <dc:language>en-US</dc:language>
  <cp:lastModifiedBy/>
  <dcterms:modified xsi:type="dcterms:W3CDTF">2026-10-14T13:52:57Z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