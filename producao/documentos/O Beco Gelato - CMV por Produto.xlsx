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PREÇOS" sheetId="2" state="visible" r:id="rId2"/>
    <sheet xmlns:r="http://schemas.openxmlformats.org/officeDocument/2006/relationships" name="VENDA" sheetId="3" state="visible" r:id="rId3"/>
    <sheet xmlns:r="http://schemas.openxmlformats.org/officeDocument/2006/relationships" name="RESUMO" sheetId="4" state="visible" r:id="rId4"/>
    <sheet xmlns:r="http://schemas.openxmlformats.org/officeDocument/2006/relationships" name="CMV Café Proteico" sheetId="5" state="visible" r:id="rId5"/>
    <sheet xmlns:r="http://schemas.openxmlformats.org/officeDocument/2006/relationships" name="CMV Pistache" sheetId="6" state="visible" r:id="rId6"/>
    <sheet xmlns:r="http://schemas.openxmlformats.org/officeDocument/2006/relationships" name="CMV Manga com Maracujá" sheetId="7" state="visible" r:id="rId7"/>
    <sheet xmlns:r="http://schemas.openxmlformats.org/officeDocument/2006/relationships" name="CMV Sorbet Morango" sheetId="8" state="visible" r:id="rId8"/>
    <sheet xmlns:r="http://schemas.openxmlformats.org/officeDocument/2006/relationships" name="CMV Torta de Limão" sheetId="9" state="visible" r:id="rId9"/>
    <sheet xmlns:r="http://schemas.openxmlformats.org/officeDocument/2006/relationships" name="CMV Alfajor" sheetId="10" state="visible" r:id="rId10"/>
    <sheet xmlns:r="http://schemas.openxmlformats.org/officeDocument/2006/relationships" name="CMV Brigadeiro Prote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&quot;R$ &quot;0.00"/>
    <numFmt numFmtId="166" formatCode="0.000"/>
    <numFmt numFmtId="167" formatCode="&quot;R$ &quot;0.000"/>
    <numFmt numFmtId="168" formatCode="0.0%"/>
    <numFmt numFmtId="169" formatCode="&quot;R$ &quot;#,##0.00"/>
  </numFmts>
  <fonts count="5">
    <font>
      <name val="Calibri"/>
      <family val="2"/>
      <color theme="1"/>
      <sz val="11"/>
      <scheme val="minor"/>
    </font>
    <font>
      <b val="1"/>
      <color rgb="006B4A2F"/>
      <sz val="13"/>
    </font>
    <font>
      <i val="1"/>
      <color rgb="006E655C"/>
      <sz val="8"/>
    </font>
    <font>
      <b val="1"/>
      <color rgb="00FFFFFF"/>
      <sz val="10"/>
    </font>
    <font>
      <b val="1"/>
      <color rgb="001F1A17"/>
      <sz val="10"/>
    </font>
  </fonts>
  <fills count="7">
    <fill>
      <patternFill/>
    </fill>
    <fill>
      <patternFill patternType="gray125"/>
    </fill>
    <fill>
      <patternFill patternType="solid">
        <fgColor rgb="006B4A2F"/>
      </patternFill>
    </fill>
    <fill>
      <patternFill patternType="solid">
        <fgColor rgb="00FFF4CC"/>
      </patternFill>
    </fill>
    <fill>
      <patternFill patternType="solid">
        <fgColor rgb="00FBF6EF"/>
      </patternFill>
    </fill>
    <fill>
      <patternFill patternType="solid">
        <fgColor rgb="00FBEDEA"/>
      </patternFill>
    </fill>
    <fill>
      <patternFill patternType="solid">
        <fgColor rgb="00EDF5F0"/>
      </patternFill>
    </fill>
  </fills>
  <borders count="3">
    <border>
      <left/>
      <right/>
      <top/>
      <bottom/>
      <diagonal/>
    </border>
    <border>
      <left style="thin">
        <color rgb="00B8AC9C"/>
      </left>
      <right style="thin">
        <color rgb="00B8AC9C"/>
      </right>
      <top style="thin">
        <color rgb="00B8AC9C"/>
      </top>
      <bottom style="thin">
        <color rgb="00B8AC9C"/>
      </bottom>
    </border>
    <border>
      <bottom style="thin">
        <color rgb="00D8CEC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165" fontId="0" fillId="3" borderId="1" pivotButton="0" quotePrefix="0" xfId="0"/>
    <xf numFmtId="165" fontId="0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65" fontId="4" fillId="4" borderId="0" pivotButton="0" quotePrefix="0" xfId="0"/>
    <xf numFmtId="0" fontId="0" fillId="5" borderId="2" pivotButton="0" quotePrefix="0" xfId="0"/>
    <xf numFmtId="165" fontId="0" fillId="5" borderId="2" pivotButton="0" quotePrefix="0" xfId="0"/>
    <xf numFmtId="0" fontId="0" fillId="0" borderId="2" pivotButton="0" quotePrefix="0" xfId="0"/>
    <xf numFmtId="165" fontId="0" fillId="3" borderId="2" pivotButton="0" quotePrefix="0" xfId="0"/>
    <xf numFmtId="165" fontId="0" fillId="0" borderId="2" pivotButton="0" quotePrefix="0" xfId="0"/>
    <xf numFmtId="168" fontId="0" fillId="0" borderId="2" pivotButton="0" quotePrefix="0" xfId="0"/>
    <xf numFmtId="168" fontId="4" fillId="4" borderId="0" pivotButton="0" quotePrefix="0" xfId="0"/>
    <xf numFmtId="0" fontId="0" fillId="3" borderId="2" pivotButton="0" quotePrefix="0" xfId="0"/>
    <xf numFmtId="3" fontId="0" fillId="0" borderId="2" pivotButton="0" quotePrefix="0" xfId="0"/>
    <xf numFmtId="169" fontId="0" fillId="0" borderId="2" pivotButton="0" quotePrefix="0" xfId="0"/>
    <xf numFmtId="3" fontId="4" fillId="4" borderId="0" pivotButton="0" quotePrefix="0" xfId="0"/>
    <xf numFmtId="169" fontId="4" fillId="4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2" fontId="0" fillId="4" borderId="0" pivotButton="0" quotePrefix="0" xfId="0"/>
    <xf numFmtId="167" fontId="0" fillId="4" borderId="0" pivotButton="0" quotePrefix="0" xfId="0"/>
    <xf numFmtId="0" fontId="4" fillId="6" borderId="0" pivotButton="0" quotePrefix="0" xfId="0"/>
    <xf numFmtId="165" fontId="4" fillId="6" borderId="0" pivotButton="0" quotePrefix="0" xfId="0"/>
    <xf numFmtId="0" fontId="2" fillId="6" borderId="0" pivotButton="0" quotePrefix="0" xfId="0"/>
    <xf numFmtId="168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62" customWidth="1" min="4" max="4"/>
  </cols>
  <sheetData>
    <row r="1">
      <c r="A1" s="1" t="inlineStr">
        <is>
          <t>CMV por produto — O Beco Gelato</t>
        </is>
      </c>
    </row>
    <row r="2">
      <c r="A2" s="2" t="inlineStr">
        <is>
          <t>Revisão de 21/10/2026. As células amarelas são suas — mude e tudo recalcula.</t>
        </is>
      </c>
    </row>
    <row r="4" ht="26" customHeight="1">
      <c r="A4" s="3" t="inlineStr">
        <is>
          <t>Parâmetro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O que é</t>
        </is>
      </c>
    </row>
    <row r="5" ht="28" customHeight="1">
      <c r="A5" s="4" t="inlineStr">
        <is>
          <t>Gelato por pote</t>
        </is>
      </c>
      <c r="B5" s="5" t="n">
        <v>140</v>
      </c>
      <c r="C5" t="inlineStr">
        <is>
          <t>g</t>
        </is>
      </c>
      <c r="D5" s="6" t="inlineStr">
        <is>
          <t>Medido em 16/10 com 35 potes. O Alfajor tem 135 g e é tratado à parte.</t>
        </is>
      </c>
    </row>
    <row r="6" ht="28" customHeight="1">
      <c r="A6" s="4" t="inlineStr">
        <is>
          <t>Perda de processo</t>
        </is>
      </c>
      <c r="B6" s="5" t="n">
        <v>3</v>
      </c>
      <c r="C6" t="inlineStr">
        <is>
          <t>%</t>
        </is>
      </c>
      <c r="D6" s="6" t="inlineStr">
        <is>
          <t>O que fica na cuba, na pá e na espátula. Medido a 3% em lote grande; em lote de 1,5 kg chega a 10%.</t>
        </is>
      </c>
    </row>
    <row r="7" ht="28" customHeight="1">
      <c r="A7" s="4" t="inlineStr">
        <is>
          <t>Imposto (Simples)</t>
        </is>
      </c>
      <c r="B7" s="5" t="n">
        <v>4.5</v>
      </c>
      <c r="C7" t="inlineStr">
        <is>
          <t>%</t>
        </is>
      </c>
      <c r="D7" s="6" t="inlineStr">
        <is>
          <t>Anexo II, 1ª faixa. CONFIRMAR com o contador.</t>
        </is>
      </c>
    </row>
    <row r="9">
      <c r="A9" s="4" t="inlineStr">
        <is>
          <t>EMBALAGEM — por pote</t>
        </is>
      </c>
    </row>
    <row r="10" ht="26" customHeight="1">
      <c r="A10" s="3" t="inlineStr">
        <is>
          <t>Item</t>
        </is>
      </c>
      <c r="B10" s="3" t="inlineStr">
        <is>
          <t>Qtd por pote</t>
        </is>
      </c>
      <c r="C10" s="3" t="inlineStr">
        <is>
          <t>R$ unitário</t>
        </is>
      </c>
      <c r="D10" s="3" t="inlineStr">
        <is>
          <t>R$ por pote</t>
        </is>
      </c>
    </row>
    <row r="11">
      <c r="A11" t="inlineStr">
        <is>
          <t>Pote 150 ml com tampa</t>
        </is>
      </c>
      <c r="B11" s="7" t="n">
        <v>1</v>
      </c>
      <c r="C11" s="8" t="n">
        <v>1.07</v>
      </c>
      <c r="D11" s="9">
        <f>B11*C11</f>
        <v/>
      </c>
    </row>
    <row r="12">
      <c r="A12" t="inlineStr">
        <is>
          <t>Colher tradicional</t>
        </is>
      </c>
      <c r="B12" s="7" t="n">
        <v>1</v>
      </c>
      <c r="C12" s="8" t="n">
        <v>0.26</v>
      </c>
      <c r="D12" s="9">
        <f>B12*C12</f>
        <v/>
      </c>
    </row>
    <row r="13">
      <c r="A13" t="inlineStr">
        <is>
          <t>Lacre de sabor</t>
        </is>
      </c>
      <c r="B13" s="7" t="n">
        <v>1</v>
      </c>
      <c r="C13" s="8" t="n">
        <v>0.34</v>
      </c>
      <c r="D13" s="9">
        <f>B13*C13</f>
        <v/>
      </c>
    </row>
    <row r="14">
      <c r="A14" s="10" t="inlineStr">
        <is>
          <t>TOTAL EMBALAGEM</t>
        </is>
      </c>
      <c r="B14" s="11" t="n"/>
      <c r="C14" s="11" t="n"/>
      <c r="D14" s="12">
        <f>SUM(D11:D13)</f>
        <v/>
      </c>
    </row>
    <row r="16">
      <c r="A16" s="4" t="inlineStr">
        <is>
          <t>COMO A CONTA É FEITA</t>
        </is>
      </c>
    </row>
    <row r="17">
      <c r="A17" t="inlineStr">
        <is>
          <t>Calda por pote = gelato por pote ÷ (1 − perda)</t>
        </is>
      </c>
    </row>
    <row r="18">
      <c r="A18" t="inlineStr">
        <is>
          <t>Custo de insumo = soma de (g de cada ingrediente no pote × R$/kg ÷ 1000)</t>
        </is>
      </c>
    </row>
    <row r="19">
      <c r="A19" t="inlineStr">
        <is>
          <t>CMV = insumo + embalagem</t>
        </is>
      </c>
    </row>
    <row r="20">
      <c r="A20" t="inlineStr">
        <is>
          <t>Imposto = preço de venda × alíquota</t>
        </is>
      </c>
    </row>
    <row r="21">
      <c r="A21" t="inlineStr">
        <is>
          <t>Contribuição = preço − CMV − imposto</t>
        </is>
      </c>
    </row>
    <row r="22">
      <c r="A22" t="inlineStr">
        <is>
          <t>Margem = contribuição ÷ preço</t>
        </is>
      </c>
    </row>
  </sheetData>
  <mergeCells count="6">
    <mergeCell ref="A17:D17"/>
    <mergeCell ref="A18:D18"/>
    <mergeCell ref="A22:D22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6" customWidth="1" min="3" max="3"/>
  </cols>
  <sheetData>
    <row r="1">
      <c r="A1" s="1" t="inlineStr">
        <is>
          <t>Preço dos insumos</t>
        </is>
      </c>
    </row>
    <row r="2">
      <c r="A2" s="2" t="inlineStr">
        <is>
          <t>Coluna amarela: edite aqui quando o preço mudar. Todos os produtos recalculam.</t>
        </is>
      </c>
    </row>
    <row r="4" ht="26" customHeight="1">
      <c r="A4" s="3" t="inlineStr">
        <is>
          <t>Insumo</t>
        </is>
      </c>
      <c r="B4" s="3" t="inlineStr">
        <is>
          <t>R$ por kg</t>
        </is>
      </c>
      <c r="C4" s="3" t="inlineStr">
        <is>
          <t>Observação</t>
        </is>
      </c>
    </row>
    <row r="5">
      <c r="A5" s="13" t="inlineStr">
        <is>
          <t>AGUA</t>
        </is>
      </c>
      <c r="B5" s="14" t="n">
        <v>0</v>
      </c>
      <c r="C5" s="13" t="inlineStr">
        <is>
          <t>SEM PREÇO — a conta sai menor que o real</t>
        </is>
      </c>
    </row>
    <row r="6">
      <c r="A6" s="15" t="inlineStr">
        <is>
          <t>BASE MEC PROTEIN</t>
        </is>
      </c>
      <c r="B6" s="16" t="n">
        <v>148.2</v>
      </c>
      <c r="C6" s="15" t="inlineStr"/>
    </row>
    <row r="7">
      <c r="A7" s="15" t="inlineStr">
        <is>
          <t>BISCOITO ALFAJOR DE CHOCOLATE (ZERO LACTOSE)</t>
        </is>
      </c>
      <c r="B7" s="16" t="n">
        <v>38.46</v>
      </c>
      <c r="C7" s="15" t="inlineStr"/>
    </row>
    <row r="8">
      <c r="A8" s="15" t="inlineStr">
        <is>
          <t>CACAU 22/24</t>
        </is>
      </c>
      <c r="B8" s="16" t="n">
        <v>130</v>
      </c>
      <c r="C8" s="15" t="inlineStr"/>
    </row>
    <row r="9">
      <c r="A9" s="15" t="inlineStr">
        <is>
          <t>CREME DE LEITE FRESCO 35% ZL (VERDE CAMPO LACFREE)</t>
        </is>
      </c>
      <c r="B9" s="16" t="n">
        <v>57.8</v>
      </c>
      <c r="C9" s="15" t="inlineStr"/>
    </row>
    <row r="10">
      <c r="A10" s="15" t="inlineStr">
        <is>
          <t>CREMOBENE PREMIUM (LIGA NEUTRA)</t>
        </is>
      </c>
      <c r="B10" s="16" t="n">
        <v>105.84</v>
      </c>
      <c r="C10" s="15" t="inlineStr"/>
    </row>
    <row r="11">
      <c r="A11" s="15" t="inlineStr">
        <is>
          <t>DELÍCIA DE AMENDOIM PROTEICO</t>
        </is>
      </c>
      <c r="B11" s="16" t="n">
        <v>94.25</v>
      </c>
      <c r="C11" s="15" t="inlineStr"/>
    </row>
    <row r="12">
      <c r="A12" s="15" t="inlineStr">
        <is>
          <t>DOCE DE LEITE VIÇOSA ZERO</t>
        </is>
      </c>
      <c r="B12" s="16" t="n">
        <v>99.75</v>
      </c>
      <c r="C12" s="15" t="inlineStr"/>
    </row>
    <row r="13">
      <c r="A13" s="15" t="inlineStr">
        <is>
          <t>ERITRITOL</t>
        </is>
      </c>
      <c r="B13" s="16" t="n">
        <v>53.76</v>
      </c>
      <c r="C13" s="15" t="inlineStr"/>
    </row>
    <row r="14">
      <c r="A14" s="15" t="inlineStr">
        <is>
          <t>GLICEROL (GLICERINA BIDESTILADA)</t>
        </is>
      </c>
      <c r="B14" s="16" t="n">
        <v>24</v>
      </c>
      <c r="C14" s="15" t="inlineStr"/>
    </row>
    <row r="15">
      <c r="A15" s="15" t="inlineStr">
        <is>
          <t>GUSTO LIMONE SICILIA (PÓ)</t>
        </is>
      </c>
      <c r="B15" s="16" t="n">
        <v>359.62</v>
      </c>
      <c r="C15" s="15" t="inlineStr"/>
    </row>
    <row r="16">
      <c r="A16" s="15" t="inlineStr">
        <is>
          <t>LEITE EM PO DESNATADO ZL (BATAVO PENSE ZERO)</t>
        </is>
      </c>
      <c r="B16" s="16" t="n">
        <v>65.7</v>
      </c>
      <c r="C16" s="15" t="inlineStr"/>
    </row>
    <row r="17">
      <c r="A17" s="15" t="inlineStr">
        <is>
          <t>LEITE ZERO LACTOSE (INTEGRAL)</t>
        </is>
      </c>
      <c r="B17" s="16" t="n">
        <v>9.800000000000001</v>
      </c>
      <c r="C17" s="15" t="inlineStr"/>
    </row>
    <row r="18">
      <c r="A18" s="15" t="inlineStr">
        <is>
          <t>MALTITOL</t>
        </is>
      </c>
      <c r="B18" s="16" t="n">
        <v>37.78</v>
      </c>
      <c r="C18" s="15" t="inlineStr"/>
    </row>
    <row r="19">
      <c r="A19" s="15" t="inlineStr">
        <is>
          <t>MANGA</t>
        </is>
      </c>
      <c r="B19" s="16" t="n">
        <v>22</v>
      </c>
      <c r="C19" s="15" t="inlineStr"/>
    </row>
    <row r="20">
      <c r="A20" s="15" t="inlineStr">
        <is>
          <t>MARACUJA (POLPA)</t>
        </is>
      </c>
      <c r="B20" s="16" t="n">
        <v>30</v>
      </c>
      <c r="C20" s="15" t="inlineStr"/>
    </row>
    <row r="21">
      <c r="A21" s="15" t="inlineStr">
        <is>
          <t>MIX OFICIAL</t>
        </is>
      </c>
      <c r="B21" s="16" t="n">
        <v>49.134</v>
      </c>
      <c r="C21" s="15" t="inlineStr"/>
    </row>
    <row r="22">
      <c r="A22" s="15" t="inlineStr">
        <is>
          <t>MORANGO</t>
        </is>
      </c>
      <c r="B22" s="16" t="n">
        <v>11.29</v>
      </c>
      <c r="C22" s="15" t="inlineStr"/>
    </row>
    <row r="23">
      <c r="A23" s="15" t="inlineStr">
        <is>
          <t>PASTA CAFÉ SELECTA (BALDE 2 KG)</t>
        </is>
      </c>
      <c r="B23" s="16" t="n">
        <v>90</v>
      </c>
      <c r="C23" s="15" t="inlineStr"/>
    </row>
    <row r="24">
      <c r="A24" s="15" t="inlineStr">
        <is>
          <t>PASTA FRAGOLA MEC3 (18047)</t>
        </is>
      </c>
      <c r="B24" s="16" t="n">
        <v>142.27</v>
      </c>
      <c r="C24" s="15" t="inlineStr"/>
    </row>
    <row r="25">
      <c r="A25" s="15" t="inlineStr">
        <is>
          <t>PASTA PISTACCHIO 100% CALIFÓRNIA</t>
        </is>
      </c>
      <c r="B25" s="16" t="n">
        <v>450</v>
      </c>
      <c r="C25" s="15" t="inlineStr"/>
    </row>
    <row r="26">
      <c r="A26" s="15" t="inlineStr">
        <is>
          <t>POLIDEXTROSE</t>
        </is>
      </c>
      <c r="B26" s="16" t="n">
        <v>28.92</v>
      </c>
      <c r="C26" s="15" t="inlineStr"/>
    </row>
    <row r="27">
      <c r="A27" s="15" t="inlineStr">
        <is>
          <t>SAL</t>
        </is>
      </c>
      <c r="B27" s="16" t="n">
        <v>3</v>
      </c>
      <c r="C27" s="15" t="inlineStr"/>
    </row>
    <row r="28">
      <c r="A28" s="15" t="inlineStr">
        <is>
          <t>STEVIA</t>
        </is>
      </c>
      <c r="B28" s="16" t="n">
        <v>3100</v>
      </c>
      <c r="C28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8" customWidth="1" min="4" max="4"/>
  </cols>
  <sheetData>
    <row r="1">
      <c r="A1" s="1" t="inlineStr">
        <is>
          <t>Preço de venda por produto</t>
        </is>
      </c>
    </row>
    <row r="2">
      <c r="A2" s="2" t="inlineStr">
        <is>
          <t>Preço praticado na rua, confirmado em 21/10. Edite para simular.</t>
        </is>
      </c>
    </row>
    <row r="4" ht="26" customHeight="1">
      <c r="A4" s="3" t="inlineStr">
        <is>
          <t>Produto</t>
        </is>
      </c>
      <c r="B4" s="3" t="inlineStr">
        <is>
          <t>Linha</t>
        </is>
      </c>
      <c r="C4" s="3" t="inlineStr">
        <is>
          <t>R$ atacado</t>
        </is>
      </c>
      <c r="D4" s="3" t="inlineStr">
        <is>
          <t>R$ varejo sugerido</t>
        </is>
      </c>
    </row>
    <row r="5">
      <c r="A5" t="inlineStr">
        <is>
          <t>Café Proteico</t>
        </is>
      </c>
      <c r="B5" t="inlineStr">
        <is>
          <t>BOOST</t>
        </is>
      </c>
      <c r="C5" s="8" t="n">
        <v>20.5</v>
      </c>
      <c r="D5" s="8" t="n">
        <v>32.9</v>
      </c>
    </row>
    <row r="6">
      <c r="A6" t="inlineStr">
        <is>
          <t>Pistache</t>
        </is>
      </c>
      <c r="B6" t="inlineStr">
        <is>
          <t>SPECIAL</t>
        </is>
      </c>
      <c r="C6" s="8" t="n">
        <v>20.5</v>
      </c>
      <c r="D6" s="8" t="n">
        <v>32.9</v>
      </c>
    </row>
    <row r="7">
      <c r="A7" t="inlineStr">
        <is>
          <t>Manga com Maracujá</t>
        </is>
      </c>
      <c r="B7" t="inlineStr">
        <is>
          <t>FRESH</t>
        </is>
      </c>
      <c r="C7" s="8" t="n">
        <v>18.7</v>
      </c>
      <c r="D7" s="8" t="n">
        <v>29.9</v>
      </c>
    </row>
    <row r="8">
      <c r="A8" t="inlineStr">
        <is>
          <t>Sorbet Morango</t>
        </is>
      </c>
      <c r="B8" t="inlineStr">
        <is>
          <t>FRESH</t>
        </is>
      </c>
      <c r="C8" s="8" t="n">
        <v>18.7</v>
      </c>
      <c r="D8" s="8" t="n">
        <v>29.9</v>
      </c>
    </row>
    <row r="9">
      <c r="A9" t="inlineStr">
        <is>
          <t>Torta de Limão</t>
        </is>
      </c>
      <c r="B9" t="inlineStr">
        <is>
          <t>SPECIAL</t>
        </is>
      </c>
      <c r="C9" s="8" t="n">
        <v>20.5</v>
      </c>
      <c r="D9" s="8" t="n">
        <v>32.9</v>
      </c>
    </row>
    <row r="10">
      <c r="A10" t="inlineStr">
        <is>
          <t>Alfajor</t>
        </is>
      </c>
      <c r="B10" t="inlineStr">
        <is>
          <t>SPECIAL</t>
        </is>
      </c>
      <c r="C10" s="8" t="n">
        <v>20.5</v>
      </c>
      <c r="D10" s="8" t="n">
        <v>32.9</v>
      </c>
    </row>
    <row r="11">
      <c r="A11" t="inlineStr">
        <is>
          <t>Brigadeiro Proteico</t>
        </is>
      </c>
      <c r="B11" t="inlineStr">
        <is>
          <t>BOOST</t>
        </is>
      </c>
      <c r="C11" s="8" t="n">
        <v>20.5</v>
      </c>
      <c r="D11" s="8" t="n">
        <v>32.9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CMV e margem — os 7 produtos</t>
        </is>
      </c>
    </row>
    <row r="2">
      <c r="A2" s="2" t="inlineStr">
        <is>
          <t>Tudo puxado das abas de produto. Mude um preço na aba PREÇOS e esta tabela acompanha.</t>
        </is>
      </c>
    </row>
    <row r="4" ht="26" customHeight="1">
      <c r="A4" s="3" t="inlineStr">
        <is>
          <t>Produto</t>
        </is>
      </c>
      <c r="B4" s="3" t="inlineStr">
        <is>
          <t>Linha</t>
        </is>
      </c>
      <c r="C4" s="3" t="inlineStr">
        <is>
          <t>Pote (g)</t>
        </is>
      </c>
      <c r="D4" s="3" t="inlineStr">
        <is>
          <t>CMV</t>
        </is>
      </c>
      <c r="E4" s="3" t="inlineStr">
        <is>
          <t>Venda</t>
        </is>
      </c>
      <c r="F4" s="3" t="inlineStr">
        <is>
          <t>CMV %</t>
        </is>
      </c>
      <c r="G4" s="3" t="inlineStr">
        <is>
          <t>Imposto</t>
        </is>
      </c>
      <c r="H4" s="3" t="inlineStr">
        <is>
          <t>Contribuição</t>
        </is>
      </c>
      <c r="I4" s="3" t="inlineStr">
        <is>
          <t>Margem</t>
        </is>
      </c>
    </row>
    <row r="5">
      <c r="A5" s="15" t="inlineStr">
        <is>
          <t>Café Proteico</t>
        </is>
      </c>
      <c r="B5" s="15" t="inlineStr">
        <is>
          <t>BOOST</t>
        </is>
      </c>
      <c r="C5" s="15" t="n">
        <v>140</v>
      </c>
      <c r="D5" s="17">
        <f>'CMV Café Proteico'!B21</f>
        <v/>
      </c>
      <c r="E5" s="17">
        <f>'CMV Café Proteico'!B22</f>
        <v/>
      </c>
      <c r="F5" s="18">
        <f>IFERROR(D5/E5,0)</f>
        <v/>
      </c>
      <c r="G5" s="17">
        <f>E5*PARÂMETROS!$B$7/100</f>
        <v/>
      </c>
      <c r="H5" s="17">
        <f>'CMV Café Proteico'!B24</f>
        <v/>
      </c>
      <c r="I5" s="18">
        <f>IFERROR(H5/E5,0)</f>
        <v/>
      </c>
    </row>
    <row r="6">
      <c r="A6" s="15" t="inlineStr">
        <is>
          <t>Pistache</t>
        </is>
      </c>
      <c r="B6" s="15" t="inlineStr">
        <is>
          <t>SPECIAL</t>
        </is>
      </c>
      <c r="C6" s="15" t="n">
        <v>140</v>
      </c>
      <c r="D6" s="17">
        <f>'CMV Pistache'!B19</f>
        <v/>
      </c>
      <c r="E6" s="17">
        <f>'CMV Pistache'!B20</f>
        <v/>
      </c>
      <c r="F6" s="18">
        <f>IFERROR(D6/E6,0)</f>
        <v/>
      </c>
      <c r="G6" s="17">
        <f>E6*PARÂMETROS!$B$7/100</f>
        <v/>
      </c>
      <c r="H6" s="17">
        <f>'CMV Pistache'!B22</f>
        <v/>
      </c>
      <c r="I6" s="18">
        <f>IFERROR(H6/E6,0)</f>
        <v/>
      </c>
    </row>
    <row r="7">
      <c r="A7" s="15" t="inlineStr">
        <is>
          <t>Manga com Maracujá</t>
        </is>
      </c>
      <c r="B7" s="15" t="inlineStr">
        <is>
          <t>FRESH</t>
        </is>
      </c>
      <c r="C7" s="15" t="n">
        <v>140</v>
      </c>
      <c r="D7" s="17">
        <f>'CMV Manga com Maracujá'!B18</f>
        <v/>
      </c>
      <c r="E7" s="17">
        <f>'CMV Manga com Maracujá'!B19</f>
        <v/>
      </c>
      <c r="F7" s="18">
        <f>IFERROR(D7/E7,0)</f>
        <v/>
      </c>
      <c r="G7" s="17">
        <f>E7*PARÂMETROS!$B$7/100</f>
        <v/>
      </c>
      <c r="H7" s="17">
        <f>'CMV Manga com Maracujá'!B21</f>
        <v/>
      </c>
      <c r="I7" s="18">
        <f>IFERROR(H7/E7,0)</f>
        <v/>
      </c>
    </row>
    <row r="8">
      <c r="A8" s="15" t="inlineStr">
        <is>
          <t>Sorbet Morango</t>
        </is>
      </c>
      <c r="B8" s="15" t="inlineStr">
        <is>
          <t>FRESH</t>
        </is>
      </c>
      <c r="C8" s="15" t="n">
        <v>140</v>
      </c>
      <c r="D8" s="17">
        <f>'CMV Sorbet Morango'!B18</f>
        <v/>
      </c>
      <c r="E8" s="17">
        <f>'CMV Sorbet Morango'!B19</f>
        <v/>
      </c>
      <c r="F8" s="18">
        <f>IFERROR(D8/E8,0)</f>
        <v/>
      </c>
      <c r="G8" s="17">
        <f>E8*PARÂMETROS!$B$7/100</f>
        <v/>
      </c>
      <c r="H8" s="17">
        <f>'CMV Sorbet Morango'!B21</f>
        <v/>
      </c>
      <c r="I8" s="18">
        <f>IFERROR(H8/E8,0)</f>
        <v/>
      </c>
    </row>
    <row r="9">
      <c r="A9" s="15" t="inlineStr">
        <is>
          <t>Torta de Limão</t>
        </is>
      </c>
      <c r="B9" s="15" t="inlineStr">
        <is>
          <t>SPECIAL</t>
        </is>
      </c>
      <c r="C9" s="15" t="n">
        <v>140</v>
      </c>
      <c r="D9" s="17">
        <f>'CMV Torta de Limão'!B19</f>
        <v/>
      </c>
      <c r="E9" s="17">
        <f>'CMV Torta de Limão'!B20</f>
        <v/>
      </c>
      <c r="F9" s="18">
        <f>IFERROR(D9/E9,0)</f>
        <v/>
      </c>
      <c r="G9" s="17">
        <f>E9*PARÂMETROS!$B$7/100</f>
        <v/>
      </c>
      <c r="H9" s="17">
        <f>'CMV Torta de Limão'!B22</f>
        <v/>
      </c>
      <c r="I9" s="18">
        <f>IFERROR(H9/E9,0)</f>
        <v/>
      </c>
    </row>
    <row r="10">
      <c r="A10" s="15" t="inlineStr">
        <is>
          <t>Alfajor</t>
        </is>
      </c>
      <c r="B10" s="15" t="inlineStr">
        <is>
          <t>SPECIAL</t>
        </is>
      </c>
      <c r="C10" s="15" t="n">
        <v>150</v>
      </c>
      <c r="D10" s="17">
        <f>'CMV Alfajor'!B22</f>
        <v/>
      </c>
      <c r="E10" s="17">
        <f>'CMV Alfajor'!B23</f>
        <v/>
      </c>
      <c r="F10" s="18">
        <f>IFERROR(D10/E10,0)</f>
        <v/>
      </c>
      <c r="G10" s="17">
        <f>E10*PARÂMETROS!$B$7/100</f>
        <v/>
      </c>
      <c r="H10" s="17">
        <f>'CMV Alfajor'!B25</f>
        <v/>
      </c>
      <c r="I10" s="18">
        <f>IFERROR(H10/E10,0)</f>
        <v/>
      </c>
    </row>
    <row r="11">
      <c r="A11" s="15" t="inlineStr">
        <is>
          <t>Brigadeiro Proteico</t>
        </is>
      </c>
      <c r="B11" s="15" t="inlineStr">
        <is>
          <t>BOOST</t>
        </is>
      </c>
      <c r="C11" s="15" t="n">
        <v>140</v>
      </c>
      <c r="D11" s="17">
        <f>'CMV Brigadeiro Proteico'!B20</f>
        <v/>
      </c>
      <c r="E11" s="17">
        <f>'CMV Brigadeiro Proteico'!B21</f>
        <v/>
      </c>
      <c r="F11" s="18">
        <f>IFERROR(D11/E11,0)</f>
        <v/>
      </c>
      <c r="G11" s="17">
        <f>E11*PARÂMETROS!$B$7/100</f>
        <v/>
      </c>
      <c r="H11" s="17">
        <f>'CMV Brigadeiro Proteico'!B23</f>
        <v/>
      </c>
      <c r="I11" s="18">
        <f>IFERROR(H11/E11,0)</f>
        <v/>
      </c>
    </row>
    <row r="12">
      <c r="A12" s="10" t="inlineStr">
        <is>
          <t>MÉDIA DA LINHA</t>
        </is>
      </c>
      <c r="B12" s="11" t="n"/>
      <c r="C12" s="11" t="n"/>
      <c r="D12" s="12">
        <f>AVERAGE(D5:D11)</f>
        <v/>
      </c>
      <c r="E12" s="12">
        <f>AVERAGE(E5:E11)</f>
        <v/>
      </c>
      <c r="F12" s="19">
        <f>AVERAGE(F5:F11)</f>
        <v/>
      </c>
      <c r="G12" s="11" t="n"/>
      <c r="H12" s="12">
        <f>AVERAGE(H5:H11)</f>
        <v/>
      </c>
      <c r="I12" s="19">
        <f>AVERAGE(I5:I11)</f>
        <v/>
      </c>
    </row>
    <row r="14">
      <c r="A14" s="4" t="inlineStr">
        <is>
          <t>SIMULAÇÃO DE PRODUÇÃO</t>
        </is>
      </c>
    </row>
    <row r="15" ht="26" customHeight="1">
      <c r="A15" s="3" t="inlineStr">
        <is>
          <t>Produto</t>
        </is>
      </c>
      <c r="B15" s="3" t="inlineStr">
        <is>
          <t>Potes a produzir</t>
        </is>
      </c>
      <c r="C15" s="3" t="inlineStr">
        <is>
          <t>Calda (g)</t>
        </is>
      </c>
      <c r="D15" s="3" t="inlineStr">
        <is>
          <t>Custo de insumo</t>
        </is>
      </c>
      <c r="E15" s="3" t="inlineStr">
        <is>
          <t>Custo total</t>
        </is>
      </c>
      <c r="F15" s="3" t="inlineStr">
        <is>
          <t>Receita</t>
        </is>
      </c>
      <c r="G15" s="3" t="inlineStr">
        <is>
          <t>Contribuição</t>
        </is>
      </c>
    </row>
    <row r="16">
      <c r="A16" s="15" t="inlineStr">
        <is>
          <t>Café Proteico</t>
        </is>
      </c>
      <c r="B16" s="20" t="n">
        <v>0</v>
      </c>
      <c r="C16" s="21">
        <f>B16*125.5605/(1-PARÂMETROS!$B$6/100)</f>
        <v/>
      </c>
      <c r="D16" s="22">
        <f>B16*('CMV Café Proteico'!B21-PARÂMETROS!$D$14)</f>
        <v/>
      </c>
      <c r="E16" s="22">
        <f>B16*'CMV Café Proteico'!B21</f>
        <v/>
      </c>
      <c r="F16" s="22">
        <f>B16*E5</f>
        <v/>
      </c>
      <c r="G16" s="22">
        <f>B16*'CMV Café Proteico'!B24</f>
        <v/>
      </c>
    </row>
    <row r="17">
      <c r="A17" s="15" t="inlineStr">
        <is>
          <t>Pistache</t>
        </is>
      </c>
      <c r="B17" s="20" t="n">
        <v>0</v>
      </c>
      <c r="C17" s="21">
        <f>B17*140.0000/(1-PARÂMETROS!$B$6/100)</f>
        <v/>
      </c>
      <c r="D17" s="22">
        <f>B17*('CMV Pistache'!B19-PARÂMETROS!$D$14)</f>
        <v/>
      </c>
      <c r="E17" s="22">
        <f>B17*'CMV Pistache'!B19</f>
        <v/>
      </c>
      <c r="F17" s="22">
        <f>B17*E6</f>
        <v/>
      </c>
      <c r="G17" s="22">
        <f>B17*'CMV Pistache'!B22</f>
        <v/>
      </c>
    </row>
    <row r="18">
      <c r="A18" s="15" t="inlineStr">
        <is>
          <t>Manga com Maracujá</t>
        </is>
      </c>
      <c r="B18" s="20" t="n">
        <v>0</v>
      </c>
      <c r="C18" s="21">
        <f>B18*140.0000/(1-PARÂMETROS!$B$6/100)</f>
        <v/>
      </c>
      <c r="D18" s="22">
        <f>B18*('CMV Manga com Maracujá'!B18-PARÂMETROS!$D$14)</f>
        <v/>
      </c>
      <c r="E18" s="22">
        <f>B18*'CMV Manga com Maracujá'!B18</f>
        <v/>
      </c>
      <c r="F18" s="22">
        <f>B18*E7</f>
        <v/>
      </c>
      <c r="G18" s="22">
        <f>B18*'CMV Manga com Maracujá'!B21</f>
        <v/>
      </c>
    </row>
    <row r="19">
      <c r="A19" s="15" t="inlineStr">
        <is>
          <t>Sorbet Morango</t>
        </is>
      </c>
      <c r="B19" s="20" t="n">
        <v>0</v>
      </c>
      <c r="C19" s="21">
        <f>B19*140.0000/(1-PARÂMETROS!$B$6/100)</f>
        <v/>
      </c>
      <c r="D19" s="22">
        <f>B19*('CMV Sorbet Morango'!B18-PARÂMETROS!$D$14)</f>
        <v/>
      </c>
      <c r="E19" s="22">
        <f>B19*'CMV Sorbet Morango'!B18</f>
        <v/>
      </c>
      <c r="F19" s="22">
        <f>B19*E8</f>
        <v/>
      </c>
      <c r="G19" s="22">
        <f>B19*'CMV Sorbet Morango'!B21</f>
        <v/>
      </c>
    </row>
    <row r="20">
      <c r="A20" s="15" t="inlineStr">
        <is>
          <t>Torta de Limão</t>
        </is>
      </c>
      <c r="B20" s="20" t="n">
        <v>0</v>
      </c>
      <c r="C20" s="21">
        <f>B20*140.0000/(1-PARÂMETROS!$B$6/100)</f>
        <v/>
      </c>
      <c r="D20" s="22">
        <f>B20*('CMV Torta de Limão'!B19-PARÂMETROS!$D$14)</f>
        <v/>
      </c>
      <c r="E20" s="22">
        <f>B20*'CMV Torta de Limão'!B19</f>
        <v/>
      </c>
      <c r="F20" s="22">
        <f>B20*E9</f>
        <v/>
      </c>
      <c r="G20" s="22">
        <f>B20*'CMV Torta de Limão'!B22</f>
        <v/>
      </c>
    </row>
    <row r="21">
      <c r="A21" s="15" t="inlineStr">
        <is>
          <t>Alfajor</t>
        </is>
      </c>
      <c r="B21" s="20" t="n">
        <v>0</v>
      </c>
      <c r="C21" s="21">
        <f>B21*135.0000/(1-PARÂMETROS!$B$6/100)</f>
        <v/>
      </c>
      <c r="D21" s="22">
        <f>B21*('CMV Alfajor'!B22-PARÂMETROS!$D$14)</f>
        <v/>
      </c>
      <c r="E21" s="22">
        <f>B21*'CMV Alfajor'!B22</f>
        <v/>
      </c>
      <c r="F21" s="22">
        <f>B21*E10</f>
        <v/>
      </c>
      <c r="G21" s="22">
        <f>B21*'CMV Alfajor'!B25</f>
        <v/>
      </c>
    </row>
    <row r="22">
      <c r="A22" s="15" t="inlineStr">
        <is>
          <t>Brigadeiro Proteico</t>
        </is>
      </c>
      <c r="B22" s="20" t="n">
        <v>0</v>
      </c>
      <c r="C22" s="21">
        <f>B22*140.0000/(1-PARÂMETROS!$B$6/100)</f>
        <v/>
      </c>
      <c r="D22" s="22">
        <f>B22*('CMV Brigadeiro Proteico'!B20-PARÂMETROS!$D$14)</f>
        <v/>
      </c>
      <c r="E22" s="22">
        <f>B22*'CMV Brigadeiro Proteico'!B20</f>
        <v/>
      </c>
      <c r="F22" s="22">
        <f>B22*E11</f>
        <v/>
      </c>
      <c r="G22" s="22">
        <f>B22*'CMV Brigadeiro Proteico'!B23</f>
        <v/>
      </c>
    </row>
    <row r="23">
      <c r="A23" s="10" t="inlineStr">
        <is>
          <t>TOTAL</t>
        </is>
      </c>
      <c r="B23" s="23">
        <f>SUM(B16:B22)</f>
        <v/>
      </c>
      <c r="C23" s="23">
        <f>SUM(C16:C22)</f>
        <v/>
      </c>
      <c r="D23" s="24">
        <f>SUM(D16:D22)</f>
        <v/>
      </c>
      <c r="E23" s="24">
        <f>SUM(E16:E22)</f>
        <v/>
      </c>
      <c r="F23" s="24">
        <f>SUM(F16:F22)</f>
        <v/>
      </c>
      <c r="G23" s="24">
        <f>SUM(G16:G22)</f>
        <v/>
      </c>
    </row>
    <row r="25">
      <c r="A25" s="2" t="inlineStr">
        <is>
          <t>Preencha a coluna amarela com quantos potes de cada sabor e a planilha devolve insumo, custo total, receita e contribuição do lote.</t>
        </is>
      </c>
    </row>
  </sheetData>
  <mergeCells count="1"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Café Proteico</t>
        </is>
      </c>
    </row>
    <row r="2">
      <c r="A2" s="2" t="inlineStr">
        <is>
          <t>linha BOOST · 140 g de gelato por pote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LEITE ZERO LACTOSE (INTEGRAL)</t>
        </is>
      </c>
      <c r="B5" s="25" t="n">
        <v>655</v>
      </c>
      <c r="C5" s="26">
        <f>B5*125.5605/1000</f>
        <v/>
      </c>
      <c r="D5" s="9">
        <f>IFERROR(VLOOKUP(A5,PREÇOS!$A$5:$B$28,2,FALSE),0)</f>
        <v/>
      </c>
      <c r="E5" s="27">
        <f>C5*D5/1000</f>
        <v/>
      </c>
      <c r="F5" s="28">
        <f>IFERROR(E5/$E$15,0)</f>
        <v/>
      </c>
    </row>
    <row r="6">
      <c r="A6" t="inlineStr">
        <is>
          <t>BASE MEC PROTEIN</t>
        </is>
      </c>
      <c r="B6" s="25" t="n">
        <v>123</v>
      </c>
      <c r="C6" s="26">
        <f>B6*125.5605/1000</f>
        <v/>
      </c>
      <c r="D6" s="9">
        <f>IFERROR(VLOOKUP(A6,PREÇOS!$A$5:$B$28,2,FALSE),0)</f>
        <v/>
      </c>
      <c r="E6" s="27">
        <f>C6*D6/1000</f>
        <v/>
      </c>
      <c r="F6" s="28">
        <f>IFERROR(E6/$E$15,0)</f>
        <v/>
      </c>
    </row>
    <row r="7">
      <c r="A7" t="inlineStr">
        <is>
          <t>LEITE EM PO DESNATADO ZL (BATAVO PENSE ZERO)</t>
        </is>
      </c>
      <c r="B7" s="25" t="n">
        <v>113.5</v>
      </c>
      <c r="C7" s="26">
        <f>B7*125.5605/1000</f>
        <v/>
      </c>
      <c r="D7" s="9">
        <f>IFERROR(VLOOKUP(A7,PREÇOS!$A$5:$B$28,2,FALSE),0)</f>
        <v/>
      </c>
      <c r="E7" s="27">
        <f>C7*D7/1000</f>
        <v/>
      </c>
      <c r="F7" s="28">
        <f>IFERROR(E7/$E$15,0)</f>
        <v/>
      </c>
    </row>
    <row r="8">
      <c r="A8" t="inlineStr">
        <is>
          <t>PASTA CAFÉ SELECTA (BALDE 2 KG)</t>
        </is>
      </c>
      <c r="B8" s="25" t="n">
        <v>56.8</v>
      </c>
      <c r="C8" s="26">
        <f>B8*125.5605/1000</f>
        <v/>
      </c>
      <c r="D8" s="9">
        <f>IFERROR(VLOOKUP(A8,PREÇOS!$A$5:$B$28,2,FALSE),0)</f>
        <v/>
      </c>
      <c r="E8" s="27">
        <f>C8*D8/1000</f>
        <v/>
      </c>
      <c r="F8" s="28">
        <f>IFERROR(E8/$E$15,0)</f>
        <v/>
      </c>
    </row>
    <row r="9">
      <c r="A9" t="inlineStr">
        <is>
          <t>GLICEROL (GLICERINA BIDESTILADA)</t>
        </is>
      </c>
      <c r="B9" s="25" t="n">
        <v>28.4</v>
      </c>
      <c r="C9" s="26">
        <f>B9*125.5605/1000</f>
        <v/>
      </c>
      <c r="D9" s="9">
        <f>IFERROR(VLOOKUP(A9,PREÇOS!$A$5:$B$28,2,FALSE),0)</f>
        <v/>
      </c>
      <c r="E9" s="27">
        <f>C9*D9/1000</f>
        <v/>
      </c>
      <c r="F9" s="28">
        <f>IFERROR(E9/$E$15,0)</f>
        <v/>
      </c>
    </row>
    <row r="10">
      <c r="A10" t="inlineStr">
        <is>
          <t>POLIDEXTROSE</t>
        </is>
      </c>
      <c r="B10" s="25" t="n">
        <v>18.9</v>
      </c>
      <c r="C10" s="26">
        <f>B10*125.5605/1000</f>
        <v/>
      </c>
      <c r="D10" s="9">
        <f>IFERROR(VLOOKUP(A10,PREÇOS!$A$5:$B$28,2,FALSE),0)</f>
        <v/>
      </c>
      <c r="E10" s="27">
        <f>C10*D10/1000</f>
        <v/>
      </c>
      <c r="F10" s="28">
        <f>IFERROR(E10/$E$15,0)</f>
        <v/>
      </c>
    </row>
    <row r="11">
      <c r="A11" t="inlineStr">
        <is>
          <t>CREMOBENE PREMIUM (LIGA NEUTRA)</t>
        </is>
      </c>
      <c r="B11" s="25" t="n">
        <v>2.9</v>
      </c>
      <c r="C11" s="26">
        <f>B11*125.5605/1000</f>
        <v/>
      </c>
      <c r="D11" s="9">
        <f>IFERROR(VLOOKUP(A11,PREÇOS!$A$5:$B$28,2,FALSE),0)</f>
        <v/>
      </c>
      <c r="E11" s="27">
        <f>C11*D11/1000</f>
        <v/>
      </c>
      <c r="F11" s="28">
        <f>IFERROR(E11/$E$15,0)</f>
        <v/>
      </c>
    </row>
    <row r="12">
      <c r="A12" t="inlineStr">
        <is>
          <t>SAL</t>
        </is>
      </c>
      <c r="B12" s="25" t="n">
        <v>0.9</v>
      </c>
      <c r="C12" s="26">
        <f>B12*125.5605/1000</f>
        <v/>
      </c>
      <c r="D12" s="9">
        <f>IFERROR(VLOOKUP(A12,PREÇOS!$A$5:$B$28,2,FALSE),0)</f>
        <v/>
      </c>
      <c r="E12" s="27">
        <f>C12*D12/1000</f>
        <v/>
      </c>
      <c r="F12" s="28">
        <f>IFERROR(E12/$E$15,0)</f>
        <v/>
      </c>
    </row>
    <row r="13">
      <c r="A13" t="inlineStr">
        <is>
          <t>STEVIA</t>
        </is>
      </c>
      <c r="B13" s="25" t="n">
        <v>0.6</v>
      </c>
      <c r="C13" s="26">
        <f>B13*125.5605/1000</f>
        <v/>
      </c>
      <c r="D13" s="9">
        <f>IFERROR(VLOOKUP(A13,PREÇOS!$A$5:$B$28,2,FALSE),0)</f>
        <v/>
      </c>
      <c r="E13" s="27">
        <f>C13*D13/1000</f>
        <v/>
      </c>
      <c r="F13" s="28">
        <f>IFERROR(E13/$E$15,0)</f>
        <v/>
      </c>
    </row>
    <row r="14">
      <c r="A14" t="inlineStr">
        <is>
          <t>DELÍCIA DE AMENDOIM PROTEICO</t>
        </is>
      </c>
      <c r="B14" s="25" t="n">
        <v>115</v>
      </c>
      <c r="C14" s="26">
        <f>B14*125.5605/1000</f>
        <v/>
      </c>
      <c r="D14" s="9">
        <f>IFERROR(VLOOKUP(A14,PREÇOS!$A$5:$B$28,2,FALSE),0)</f>
        <v/>
      </c>
      <c r="E14" s="27">
        <f>C14*D14/1000</f>
        <v/>
      </c>
      <c r="F14" s="28">
        <f>IFERROR(E14/$E$15,0)</f>
        <v/>
      </c>
    </row>
    <row r="15">
      <c r="A15" s="10" t="inlineStr">
        <is>
          <t>INSUMO (sem perda)</t>
        </is>
      </c>
      <c r="B15" s="11" t="n"/>
      <c r="C15" s="29">
        <f>SUM(C5:C14)</f>
        <v/>
      </c>
      <c r="D15" s="11" t="n"/>
      <c r="E15" s="30">
        <f>SUM(E5:E14)</f>
        <v/>
      </c>
      <c r="F15" s="11" t="n"/>
    </row>
    <row r="17">
      <c r="A17" s="4" t="inlineStr">
        <is>
          <t>FECHAMENTO</t>
        </is>
      </c>
    </row>
    <row r="18" ht="26" customHeight="1">
      <c r="A18" s="3" t="inlineStr">
        <is>
          <t>Linha</t>
        </is>
      </c>
      <c r="B18" s="3" t="inlineStr">
        <is>
          <t>Valor</t>
        </is>
      </c>
      <c r="C18" s="3" t="inlineStr">
        <is>
          <t>Como é calculado</t>
        </is>
      </c>
    </row>
    <row r="19">
      <c r="A19" t="inlineStr">
        <is>
          <t>Insumo com perda</t>
        </is>
      </c>
      <c r="B19" s="9">
        <f>E15/(1-PARÂMETROS!$B$6/100)</f>
        <v/>
      </c>
      <c r="C19" s="2" t="inlineStr">
        <is>
          <t>insumo ÷ (1 − perda de processo)</t>
        </is>
      </c>
    </row>
    <row r="20">
      <c r="A20" t="inlineStr">
        <is>
          <t>Embalagem</t>
        </is>
      </c>
      <c r="B20" s="9">
        <f>PARÂMETROS!$D$14</f>
        <v/>
      </c>
      <c r="C20" s="2" t="inlineStr">
        <is>
          <t>pote + colher + lacre, da aba PARÂMETROS</t>
        </is>
      </c>
    </row>
    <row r="21">
      <c r="A21" s="31" t="inlineStr">
        <is>
          <t>CMV TOTAL</t>
        </is>
      </c>
      <c r="B21" s="32">
        <f>B19+B20</f>
        <v/>
      </c>
      <c r="C21" s="33" t="inlineStr">
        <is>
          <t>insumo com perda + embalagem</t>
        </is>
      </c>
    </row>
    <row r="22">
      <c r="A22" t="inlineStr">
        <is>
          <t>Preço de venda</t>
        </is>
      </c>
      <c r="B22" s="9">
        <f>VENDA!C5</f>
        <v/>
      </c>
      <c r="C22" s="2" t="inlineStr">
        <is>
          <t>da aba VENDA</t>
        </is>
      </c>
    </row>
    <row r="23">
      <c r="A23" t="inlineStr">
        <is>
          <t>Imposto</t>
        </is>
      </c>
      <c r="B23" s="9">
        <f>B22*PARÂMETROS!$B$7/100</f>
        <v/>
      </c>
      <c r="C23" s="2" t="inlineStr">
        <is>
          <t>preço × alíquota do Simples</t>
        </is>
      </c>
    </row>
    <row r="24">
      <c r="A24" t="inlineStr">
        <is>
          <t>Contribuição</t>
        </is>
      </c>
      <c r="B24" s="9">
        <f>B22-B21-B23</f>
        <v/>
      </c>
      <c r="C24" s="2" t="inlineStr">
        <is>
          <t>preço − CMV − imposto</t>
        </is>
      </c>
    </row>
    <row r="25">
      <c r="A25" t="inlineStr">
        <is>
          <t>CMV % do preço</t>
        </is>
      </c>
      <c r="B25" s="28">
        <f>IFERROR(B21/B22,0)</f>
        <v/>
      </c>
      <c r="C25" s="2" t="inlineStr">
        <is>
          <t>CMV ÷ preço</t>
        </is>
      </c>
    </row>
    <row r="26">
      <c r="A26" s="31" t="inlineStr">
        <is>
          <t>Margem de contribuição</t>
        </is>
      </c>
      <c r="B26" s="34">
        <f>IFERROR(B24/B22,0)</f>
        <v/>
      </c>
      <c r="C26" s="33" t="inlineStr">
        <is>
          <t>contribuição ÷ preço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Pistache</t>
        </is>
      </c>
    </row>
    <row r="2">
      <c r="A2" s="2" t="inlineStr">
        <is>
          <t>linha SPECIAL · 140 g de gelato por pote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LEITE ZERO LACTOSE (INTEGRAL)</t>
        </is>
      </c>
      <c r="B5" s="25" t="n">
        <v>654.8</v>
      </c>
      <c r="C5" s="26">
        <f>B5*140.0000/1000</f>
        <v/>
      </c>
      <c r="D5" s="9">
        <f>IFERROR(VLOOKUP(A5,PREÇOS!$A$5:$B$28,2,FALSE),0)</f>
        <v/>
      </c>
      <c r="E5" s="27">
        <f>C5*D5/1000</f>
        <v/>
      </c>
      <c r="F5" s="28">
        <f>IFERROR(E5/$E$13,0)</f>
        <v/>
      </c>
    </row>
    <row r="6">
      <c r="A6" t="inlineStr">
        <is>
          <t>MIX OFICIAL</t>
        </is>
      </c>
      <c r="B6" s="25" t="n">
        <v>120</v>
      </c>
      <c r="C6" s="26">
        <f>B6*140.0000/1000</f>
        <v/>
      </c>
      <c r="D6" s="9">
        <f>IFERROR(VLOOKUP(A6,PREÇOS!$A$5:$B$28,2,FALSE),0)</f>
        <v/>
      </c>
      <c r="E6" s="27">
        <f>C6*D6/1000</f>
        <v/>
      </c>
      <c r="F6" s="28">
        <f>IFERROR(E6/$E$13,0)</f>
        <v/>
      </c>
    </row>
    <row r="7">
      <c r="A7" t="inlineStr">
        <is>
          <t>PASTA PISTACCHIO 100% CALIFÓRNIA</t>
        </is>
      </c>
      <c r="B7" s="25" t="n">
        <v>90</v>
      </c>
      <c r="C7" s="26">
        <f>B7*140.0000/1000</f>
        <v/>
      </c>
      <c r="D7" s="9">
        <f>IFERROR(VLOOKUP(A7,PREÇOS!$A$5:$B$28,2,FALSE),0)</f>
        <v/>
      </c>
      <c r="E7" s="27">
        <f>C7*D7/1000</f>
        <v/>
      </c>
      <c r="F7" s="28">
        <f>IFERROR(E7/$E$13,0)</f>
        <v/>
      </c>
    </row>
    <row r="8">
      <c r="A8" t="inlineStr">
        <is>
          <t>CREME DE LEITE FRESCO 35% ZL (VERDE CAMPO LACFREE)</t>
        </is>
      </c>
      <c r="B8" s="25" t="n">
        <v>62</v>
      </c>
      <c r="C8" s="26">
        <f>B8*140.0000/1000</f>
        <v/>
      </c>
      <c r="D8" s="9">
        <f>IFERROR(VLOOKUP(A8,PREÇOS!$A$5:$B$28,2,FALSE),0)</f>
        <v/>
      </c>
      <c r="E8" s="27">
        <f>C8*D8/1000</f>
        <v/>
      </c>
      <c r="F8" s="28">
        <f>IFERROR(E8/$E$13,0)</f>
        <v/>
      </c>
    </row>
    <row r="9">
      <c r="A9" t="inlineStr">
        <is>
          <t>LEITE EM PO DESNATADO ZL (BATAVO PENSE ZERO)</t>
        </is>
      </c>
      <c r="B9" s="25" t="n">
        <v>33</v>
      </c>
      <c r="C9" s="26">
        <f>B9*140.0000/1000</f>
        <v/>
      </c>
      <c r="D9" s="9">
        <f>IFERROR(VLOOKUP(A9,PREÇOS!$A$5:$B$28,2,FALSE),0)</f>
        <v/>
      </c>
      <c r="E9" s="27">
        <f>C9*D9/1000</f>
        <v/>
      </c>
      <c r="F9" s="28">
        <f>IFERROR(E9/$E$13,0)</f>
        <v/>
      </c>
    </row>
    <row r="10">
      <c r="A10" t="inlineStr">
        <is>
          <t>ERITRITOL</t>
        </is>
      </c>
      <c r="B10" s="25" t="n">
        <v>20</v>
      </c>
      <c r="C10" s="26">
        <f>B10*140.0000/1000</f>
        <v/>
      </c>
      <c r="D10" s="9">
        <f>IFERROR(VLOOKUP(A10,PREÇOS!$A$5:$B$28,2,FALSE),0)</f>
        <v/>
      </c>
      <c r="E10" s="27">
        <f>C10*D10/1000</f>
        <v/>
      </c>
      <c r="F10" s="28">
        <f>IFERROR(E10/$E$13,0)</f>
        <v/>
      </c>
    </row>
    <row r="11">
      <c r="A11" t="inlineStr">
        <is>
          <t>GLICEROL (GLICERINA BIDESTILADA)</t>
        </is>
      </c>
      <c r="B11" s="25" t="n">
        <v>15</v>
      </c>
      <c r="C11" s="26">
        <f>B11*140.0000/1000</f>
        <v/>
      </c>
      <c r="D11" s="9">
        <f>IFERROR(VLOOKUP(A11,PREÇOS!$A$5:$B$28,2,FALSE),0)</f>
        <v/>
      </c>
      <c r="E11" s="27">
        <f>C11*D11/1000</f>
        <v/>
      </c>
      <c r="F11" s="28">
        <f>IFERROR(E11/$E$13,0)</f>
        <v/>
      </c>
    </row>
    <row r="12">
      <c r="A12" t="inlineStr">
        <is>
          <t>CREMOBENE PREMIUM (LIGA NEUTRA)</t>
        </is>
      </c>
      <c r="B12" s="25" t="n">
        <v>5.2</v>
      </c>
      <c r="C12" s="26">
        <f>B12*140.0000/1000</f>
        <v/>
      </c>
      <c r="D12" s="9">
        <f>IFERROR(VLOOKUP(A12,PREÇOS!$A$5:$B$28,2,FALSE),0)</f>
        <v/>
      </c>
      <c r="E12" s="27">
        <f>C12*D12/1000</f>
        <v/>
      </c>
      <c r="F12" s="28">
        <f>IFERROR(E12/$E$13,0)</f>
        <v/>
      </c>
    </row>
    <row r="13">
      <c r="A13" s="10" t="inlineStr">
        <is>
          <t>INSUMO (sem perda)</t>
        </is>
      </c>
      <c r="B13" s="11" t="n"/>
      <c r="C13" s="29">
        <f>SUM(C5:C12)</f>
        <v/>
      </c>
      <c r="D13" s="11" t="n"/>
      <c r="E13" s="30">
        <f>SUM(E5:E12)</f>
        <v/>
      </c>
      <c r="F13" s="11" t="n"/>
    </row>
    <row r="15">
      <c r="A15" s="4" t="inlineStr">
        <is>
          <t>FECHAMENTO</t>
        </is>
      </c>
    </row>
    <row r="16" ht="26" customHeight="1">
      <c r="A16" s="3" t="inlineStr">
        <is>
          <t>Linha</t>
        </is>
      </c>
      <c r="B16" s="3" t="inlineStr">
        <is>
          <t>Valor</t>
        </is>
      </c>
      <c r="C16" s="3" t="inlineStr">
        <is>
          <t>Como é calculado</t>
        </is>
      </c>
    </row>
    <row r="17">
      <c r="A17" t="inlineStr">
        <is>
          <t>Insumo com perda</t>
        </is>
      </c>
      <c r="B17" s="9">
        <f>E13/(1-PARÂMETROS!$B$6/100)</f>
        <v/>
      </c>
      <c r="C17" s="2" t="inlineStr">
        <is>
          <t>insumo ÷ (1 − perda de processo)</t>
        </is>
      </c>
    </row>
    <row r="18">
      <c r="A18" t="inlineStr">
        <is>
          <t>Embalagem</t>
        </is>
      </c>
      <c r="B18" s="9">
        <f>PARÂMETROS!$D$14</f>
        <v/>
      </c>
      <c r="C18" s="2" t="inlineStr">
        <is>
          <t>pote + colher + lacre, da aba PARÂMETROS</t>
        </is>
      </c>
    </row>
    <row r="19">
      <c r="A19" s="31" t="inlineStr">
        <is>
          <t>CMV TOTAL</t>
        </is>
      </c>
      <c r="B19" s="32">
        <f>B17+B18</f>
        <v/>
      </c>
      <c r="C19" s="33" t="inlineStr">
        <is>
          <t>insumo com perda + embalagem</t>
        </is>
      </c>
    </row>
    <row r="20">
      <c r="A20" t="inlineStr">
        <is>
          <t>Preço de venda</t>
        </is>
      </c>
      <c r="B20" s="9">
        <f>VENDA!C6</f>
        <v/>
      </c>
      <c r="C20" s="2" t="inlineStr">
        <is>
          <t>da aba VENDA</t>
        </is>
      </c>
    </row>
    <row r="21">
      <c r="A21" t="inlineStr">
        <is>
          <t>Imposto</t>
        </is>
      </c>
      <c r="B21" s="9">
        <f>B20*PARÂMETROS!$B$7/100</f>
        <v/>
      </c>
      <c r="C21" s="2" t="inlineStr">
        <is>
          <t>preço × alíquota do Simples</t>
        </is>
      </c>
    </row>
    <row r="22">
      <c r="A22" t="inlineStr">
        <is>
          <t>Contribuição</t>
        </is>
      </c>
      <c r="B22" s="9">
        <f>B20-B19-B21</f>
        <v/>
      </c>
      <c r="C22" s="2" t="inlineStr">
        <is>
          <t>preço − CMV − imposto</t>
        </is>
      </c>
    </row>
    <row r="23">
      <c r="A23" t="inlineStr">
        <is>
          <t>CMV % do preço</t>
        </is>
      </c>
      <c r="B23" s="28">
        <f>IFERROR(B19/B20,0)</f>
        <v/>
      </c>
      <c r="C23" s="2" t="inlineStr">
        <is>
          <t>CMV ÷ preço</t>
        </is>
      </c>
    </row>
    <row r="24">
      <c r="A24" s="31" t="inlineStr">
        <is>
          <t>Margem de contribuição</t>
        </is>
      </c>
      <c r="B24" s="34">
        <f>IFERROR(B22/B20,0)</f>
        <v/>
      </c>
      <c r="C24" s="33" t="inlineStr">
        <is>
          <t>contribuição ÷ preço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Manga com Maracujá</t>
        </is>
      </c>
    </row>
    <row r="2">
      <c r="A2" s="2" t="inlineStr">
        <is>
          <t>linha FRESH · 140 g de gelato por pote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MANGA</t>
        </is>
      </c>
      <c r="B5" s="25" t="n">
        <v>479</v>
      </c>
      <c r="C5" s="26">
        <f>B5*140.0000/1000</f>
        <v/>
      </c>
      <c r="D5" s="9">
        <f>IFERROR(VLOOKUP(A5,PREÇOS!$A$5:$B$28,2,FALSE),0)</f>
        <v/>
      </c>
      <c r="E5" s="27">
        <f>C5*D5/1000</f>
        <v/>
      </c>
      <c r="F5" s="28">
        <f>IFERROR(E5/$E$12,0)</f>
        <v/>
      </c>
    </row>
    <row r="6">
      <c r="A6" t="inlineStr">
        <is>
          <t>MARACUJA (POLPA)</t>
        </is>
      </c>
      <c r="B6" s="25" t="n">
        <v>235</v>
      </c>
      <c r="C6" s="26">
        <f>B6*140.0000/1000</f>
        <v/>
      </c>
      <c r="D6" s="9">
        <f>IFERROR(VLOOKUP(A6,PREÇOS!$A$5:$B$28,2,FALSE),0)</f>
        <v/>
      </c>
      <c r="E6" s="27">
        <f>C6*D6/1000</f>
        <v/>
      </c>
      <c r="F6" s="28">
        <f>IFERROR(E6/$E$12,0)</f>
        <v/>
      </c>
    </row>
    <row r="7">
      <c r="A7" t="inlineStr">
        <is>
          <t>MIX OFICIAL</t>
        </is>
      </c>
      <c r="B7" s="25" t="n">
        <v>120</v>
      </c>
      <c r="C7" s="26">
        <f>B7*140.0000/1000</f>
        <v/>
      </c>
      <c r="D7" s="9">
        <f>IFERROR(VLOOKUP(A7,PREÇOS!$A$5:$B$28,2,FALSE),0)</f>
        <v/>
      </c>
      <c r="E7" s="27">
        <f>C7*D7/1000</f>
        <v/>
      </c>
      <c r="F7" s="28">
        <f>IFERROR(E7/$E$12,0)</f>
        <v/>
      </c>
    </row>
    <row r="8">
      <c r="A8" t="inlineStr">
        <is>
          <t>AGUA</t>
        </is>
      </c>
      <c r="B8" s="25" t="n">
        <v>78</v>
      </c>
      <c r="C8" s="26">
        <f>B8*140.0000/1000</f>
        <v/>
      </c>
      <c r="D8" s="9">
        <f>IFERROR(VLOOKUP(A8,PREÇOS!$A$5:$B$28,2,FALSE),0)</f>
        <v/>
      </c>
      <c r="E8" s="27">
        <f>C8*D8/1000</f>
        <v/>
      </c>
      <c r="F8" s="28">
        <f>IFERROR(E8/$E$12,0)</f>
        <v/>
      </c>
    </row>
    <row r="9">
      <c r="A9" t="inlineStr">
        <is>
          <t>POLIDEXTROSE</t>
        </is>
      </c>
      <c r="B9" s="25" t="n">
        <v>70</v>
      </c>
      <c r="C9" s="26">
        <f>B9*140.0000/1000</f>
        <v/>
      </c>
      <c r="D9" s="9">
        <f>IFERROR(VLOOKUP(A9,PREÇOS!$A$5:$B$28,2,FALSE),0)</f>
        <v/>
      </c>
      <c r="E9" s="27">
        <f>C9*D9/1000</f>
        <v/>
      </c>
      <c r="F9" s="28">
        <f>IFERROR(E9/$E$12,0)</f>
        <v/>
      </c>
    </row>
    <row r="10">
      <c r="A10" t="inlineStr">
        <is>
          <t>GLICEROL (GLICERINA BIDESTILADA)</t>
        </is>
      </c>
      <c r="B10" s="25" t="n">
        <v>15</v>
      </c>
      <c r="C10" s="26">
        <f>B10*140.0000/1000</f>
        <v/>
      </c>
      <c r="D10" s="9">
        <f>IFERROR(VLOOKUP(A10,PREÇOS!$A$5:$B$28,2,FALSE),0)</f>
        <v/>
      </c>
      <c r="E10" s="27">
        <f>C10*D10/1000</f>
        <v/>
      </c>
      <c r="F10" s="28">
        <f>IFERROR(E10/$E$12,0)</f>
        <v/>
      </c>
    </row>
    <row r="11">
      <c r="A11" t="inlineStr">
        <is>
          <t>CREMOBENE PREMIUM (LIGA NEUTRA)</t>
        </is>
      </c>
      <c r="B11" s="25" t="n">
        <v>3</v>
      </c>
      <c r="C11" s="26">
        <f>B11*140.0000/1000</f>
        <v/>
      </c>
      <c r="D11" s="9">
        <f>IFERROR(VLOOKUP(A11,PREÇOS!$A$5:$B$28,2,FALSE),0)</f>
        <v/>
      </c>
      <c r="E11" s="27">
        <f>C11*D11/1000</f>
        <v/>
      </c>
      <c r="F11" s="28">
        <f>IFERROR(E11/$E$12,0)</f>
        <v/>
      </c>
    </row>
    <row r="12">
      <c r="A12" s="10" t="inlineStr">
        <is>
          <t>INSUMO (sem perda)</t>
        </is>
      </c>
      <c r="B12" s="11" t="n"/>
      <c r="C12" s="29">
        <f>SUM(C5:C11)</f>
        <v/>
      </c>
      <c r="D12" s="11" t="n"/>
      <c r="E12" s="30">
        <f>SUM(E5:E11)</f>
        <v/>
      </c>
      <c r="F12" s="11" t="n"/>
    </row>
    <row r="14">
      <c r="A14" s="4" t="inlineStr">
        <is>
          <t>FECHAMENTO</t>
        </is>
      </c>
    </row>
    <row r="15" ht="26" customHeight="1">
      <c r="A15" s="3" t="inlineStr">
        <is>
          <t>Linha</t>
        </is>
      </c>
      <c r="B15" s="3" t="inlineStr">
        <is>
          <t>Valor</t>
        </is>
      </c>
      <c r="C15" s="3" t="inlineStr">
        <is>
          <t>Como é calculado</t>
        </is>
      </c>
    </row>
    <row r="16">
      <c r="A16" t="inlineStr">
        <is>
          <t>Insumo com perda</t>
        </is>
      </c>
      <c r="B16" s="9">
        <f>E12/(1-PARÂMETROS!$B$6/100)</f>
        <v/>
      </c>
      <c r="C16" s="2" t="inlineStr">
        <is>
          <t>insumo ÷ (1 − perda de processo)</t>
        </is>
      </c>
    </row>
    <row r="17">
      <c r="A17" t="inlineStr">
        <is>
          <t>Embalagem</t>
        </is>
      </c>
      <c r="B17" s="9">
        <f>PARÂMETROS!$D$14</f>
        <v/>
      </c>
      <c r="C17" s="2" t="inlineStr">
        <is>
          <t>pote + colher + lacre, da aba PARÂMETROS</t>
        </is>
      </c>
    </row>
    <row r="18">
      <c r="A18" s="31" t="inlineStr">
        <is>
          <t>CMV TOTAL</t>
        </is>
      </c>
      <c r="B18" s="32">
        <f>B16+B17</f>
        <v/>
      </c>
      <c r="C18" s="33" t="inlineStr">
        <is>
          <t>insumo com perda + embalagem</t>
        </is>
      </c>
    </row>
    <row r="19">
      <c r="A19" t="inlineStr">
        <is>
          <t>Preço de venda</t>
        </is>
      </c>
      <c r="B19" s="9">
        <f>VENDA!C7</f>
        <v/>
      </c>
      <c r="C19" s="2" t="inlineStr">
        <is>
          <t>da aba VENDA</t>
        </is>
      </c>
    </row>
    <row r="20">
      <c r="A20" t="inlineStr">
        <is>
          <t>Imposto</t>
        </is>
      </c>
      <c r="B20" s="9">
        <f>B19*PARÂMETROS!$B$7/100</f>
        <v/>
      </c>
      <c r="C20" s="2" t="inlineStr">
        <is>
          <t>preço × alíquota do Simples</t>
        </is>
      </c>
    </row>
    <row r="21">
      <c r="A21" t="inlineStr">
        <is>
          <t>Contribuição</t>
        </is>
      </c>
      <c r="B21" s="9">
        <f>B19-B18-B20</f>
        <v/>
      </c>
      <c r="C21" s="2" t="inlineStr">
        <is>
          <t>preço − CMV − imposto</t>
        </is>
      </c>
    </row>
    <row r="22">
      <c r="A22" t="inlineStr">
        <is>
          <t>CMV % do preço</t>
        </is>
      </c>
      <c r="B22" s="28">
        <f>IFERROR(B18/B19,0)</f>
        <v/>
      </c>
      <c r="C22" s="2" t="inlineStr">
        <is>
          <t>CMV ÷ preço</t>
        </is>
      </c>
    </row>
    <row r="23">
      <c r="A23" s="31" t="inlineStr">
        <is>
          <t>Margem de contribuição</t>
        </is>
      </c>
      <c r="B23" s="34">
        <f>IFERROR(B21/B19,0)</f>
        <v/>
      </c>
      <c r="C23" s="33" t="inlineStr">
        <is>
          <t>contribuição ÷ preço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Sorbet Morango</t>
        </is>
      </c>
    </row>
    <row r="2">
      <c r="A2" s="2" t="inlineStr">
        <is>
          <t>linha FRESH · 140 g de gelato por pote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MORANGO</t>
        </is>
      </c>
      <c r="B5" s="25" t="n">
        <v>629</v>
      </c>
      <c r="C5" s="26">
        <f>B5*140.0000/1000</f>
        <v/>
      </c>
      <c r="D5" s="9">
        <f>IFERROR(VLOOKUP(A5,PREÇOS!$A$5:$B$28,2,FALSE),0)</f>
        <v/>
      </c>
      <c r="E5" s="27">
        <f>C5*D5/1000</f>
        <v/>
      </c>
      <c r="F5" s="28">
        <f>IFERROR(E5/$E$12,0)</f>
        <v/>
      </c>
    </row>
    <row r="6">
      <c r="A6" t="inlineStr">
        <is>
          <t>MIX OFICIAL</t>
        </is>
      </c>
      <c r="B6" s="25" t="n">
        <v>230</v>
      </c>
      <c r="C6" s="26">
        <f>B6*140.0000/1000</f>
        <v/>
      </c>
      <c r="D6" s="9">
        <f>IFERROR(VLOOKUP(A6,PREÇOS!$A$5:$B$28,2,FALSE),0)</f>
        <v/>
      </c>
      <c r="E6" s="27">
        <f>C6*D6/1000</f>
        <v/>
      </c>
      <c r="F6" s="28">
        <f>IFERROR(E6/$E$12,0)</f>
        <v/>
      </c>
    </row>
    <row r="7">
      <c r="A7" t="inlineStr">
        <is>
          <t>AGUA</t>
        </is>
      </c>
      <c r="B7" s="25" t="n">
        <v>98</v>
      </c>
      <c r="C7" s="26">
        <f>B7*140.0000/1000</f>
        <v/>
      </c>
      <c r="D7" s="9">
        <f>IFERROR(VLOOKUP(A7,PREÇOS!$A$5:$B$28,2,FALSE),0)</f>
        <v/>
      </c>
      <c r="E7" s="27">
        <f>C7*D7/1000</f>
        <v/>
      </c>
      <c r="F7" s="28">
        <f>IFERROR(E7/$E$12,0)</f>
        <v/>
      </c>
    </row>
    <row r="8">
      <c r="A8" t="inlineStr">
        <is>
          <t>ERITRITOL</t>
        </is>
      </c>
      <c r="B8" s="25" t="n">
        <v>15</v>
      </c>
      <c r="C8" s="26">
        <f>B8*140.0000/1000</f>
        <v/>
      </c>
      <c r="D8" s="9">
        <f>IFERROR(VLOOKUP(A8,PREÇOS!$A$5:$B$28,2,FALSE),0)</f>
        <v/>
      </c>
      <c r="E8" s="27">
        <f>C8*D8/1000</f>
        <v/>
      </c>
      <c r="F8" s="28">
        <f>IFERROR(E8/$E$12,0)</f>
        <v/>
      </c>
    </row>
    <row r="9">
      <c r="A9" t="inlineStr">
        <is>
          <t>GLICEROL (GLICERINA BIDESTILADA)</t>
        </is>
      </c>
      <c r="B9" s="25" t="n">
        <v>15</v>
      </c>
      <c r="C9" s="26">
        <f>B9*140.0000/1000</f>
        <v/>
      </c>
      <c r="D9" s="9">
        <f>IFERROR(VLOOKUP(A9,PREÇOS!$A$5:$B$28,2,FALSE),0)</f>
        <v/>
      </c>
      <c r="E9" s="27">
        <f>C9*D9/1000</f>
        <v/>
      </c>
      <c r="F9" s="28">
        <f>IFERROR(E9/$E$12,0)</f>
        <v/>
      </c>
    </row>
    <row r="10">
      <c r="A10" t="inlineStr">
        <is>
          <t>PASTA FRAGOLA MEC3 (18047)</t>
        </is>
      </c>
      <c r="B10" s="25" t="n">
        <v>10</v>
      </c>
      <c r="C10" s="26">
        <f>B10*140.0000/1000</f>
        <v/>
      </c>
      <c r="D10" s="9">
        <f>IFERROR(VLOOKUP(A10,PREÇOS!$A$5:$B$28,2,FALSE),0)</f>
        <v/>
      </c>
      <c r="E10" s="27">
        <f>C10*D10/1000</f>
        <v/>
      </c>
      <c r="F10" s="28">
        <f>IFERROR(E10/$E$12,0)</f>
        <v/>
      </c>
    </row>
    <row r="11">
      <c r="A11" t="inlineStr">
        <is>
          <t>CREMOBENE PREMIUM (LIGA NEUTRA)</t>
        </is>
      </c>
      <c r="B11" s="25" t="n">
        <v>3</v>
      </c>
      <c r="C11" s="26">
        <f>B11*140.0000/1000</f>
        <v/>
      </c>
      <c r="D11" s="9">
        <f>IFERROR(VLOOKUP(A11,PREÇOS!$A$5:$B$28,2,FALSE),0)</f>
        <v/>
      </c>
      <c r="E11" s="27">
        <f>C11*D11/1000</f>
        <v/>
      </c>
      <c r="F11" s="28">
        <f>IFERROR(E11/$E$12,0)</f>
        <v/>
      </c>
    </row>
    <row r="12">
      <c r="A12" s="10" t="inlineStr">
        <is>
          <t>INSUMO (sem perda)</t>
        </is>
      </c>
      <c r="B12" s="11" t="n"/>
      <c r="C12" s="29">
        <f>SUM(C5:C11)</f>
        <v/>
      </c>
      <c r="D12" s="11" t="n"/>
      <c r="E12" s="30">
        <f>SUM(E5:E11)</f>
        <v/>
      </c>
      <c r="F12" s="11" t="n"/>
    </row>
    <row r="14">
      <c r="A14" s="4" t="inlineStr">
        <is>
          <t>FECHAMENTO</t>
        </is>
      </c>
    </row>
    <row r="15" ht="26" customHeight="1">
      <c r="A15" s="3" t="inlineStr">
        <is>
          <t>Linha</t>
        </is>
      </c>
      <c r="B15" s="3" t="inlineStr">
        <is>
          <t>Valor</t>
        </is>
      </c>
      <c r="C15" s="3" t="inlineStr">
        <is>
          <t>Como é calculado</t>
        </is>
      </c>
    </row>
    <row r="16">
      <c r="A16" t="inlineStr">
        <is>
          <t>Insumo com perda</t>
        </is>
      </c>
      <c r="B16" s="9">
        <f>E12/(1-PARÂMETROS!$B$6/100)</f>
        <v/>
      </c>
      <c r="C16" s="2" t="inlineStr">
        <is>
          <t>insumo ÷ (1 − perda de processo)</t>
        </is>
      </c>
    </row>
    <row r="17">
      <c r="A17" t="inlineStr">
        <is>
          <t>Embalagem</t>
        </is>
      </c>
      <c r="B17" s="9">
        <f>PARÂMETROS!$D$14</f>
        <v/>
      </c>
      <c r="C17" s="2" t="inlineStr">
        <is>
          <t>pote + colher + lacre, da aba PARÂMETROS</t>
        </is>
      </c>
    </row>
    <row r="18">
      <c r="A18" s="31" t="inlineStr">
        <is>
          <t>CMV TOTAL</t>
        </is>
      </c>
      <c r="B18" s="32">
        <f>B16+B17</f>
        <v/>
      </c>
      <c r="C18" s="33" t="inlineStr">
        <is>
          <t>insumo com perda + embalagem</t>
        </is>
      </c>
    </row>
    <row r="19">
      <c r="A19" t="inlineStr">
        <is>
          <t>Preço de venda</t>
        </is>
      </c>
      <c r="B19" s="9">
        <f>VENDA!C8</f>
        <v/>
      </c>
      <c r="C19" s="2" t="inlineStr">
        <is>
          <t>da aba VENDA</t>
        </is>
      </c>
    </row>
    <row r="20">
      <c r="A20" t="inlineStr">
        <is>
          <t>Imposto</t>
        </is>
      </c>
      <c r="B20" s="9">
        <f>B19*PARÂMETROS!$B$7/100</f>
        <v/>
      </c>
      <c r="C20" s="2" t="inlineStr">
        <is>
          <t>preço × alíquota do Simples</t>
        </is>
      </c>
    </row>
    <row r="21">
      <c r="A21" t="inlineStr">
        <is>
          <t>Contribuição</t>
        </is>
      </c>
      <c r="B21" s="9">
        <f>B19-B18-B20</f>
        <v/>
      </c>
      <c r="C21" s="2" t="inlineStr">
        <is>
          <t>preço − CMV − imposto</t>
        </is>
      </c>
    </row>
    <row r="22">
      <c r="A22" t="inlineStr">
        <is>
          <t>CMV % do preço</t>
        </is>
      </c>
      <c r="B22" s="28">
        <f>IFERROR(B18/B19,0)</f>
        <v/>
      </c>
      <c r="C22" s="2" t="inlineStr">
        <is>
          <t>CMV ÷ preço</t>
        </is>
      </c>
    </row>
    <row r="23">
      <c r="A23" s="31" t="inlineStr">
        <is>
          <t>Margem de contribuição</t>
        </is>
      </c>
      <c r="B23" s="34">
        <f>IFERROR(B21/B19,0)</f>
        <v/>
      </c>
      <c r="C23" s="33" t="inlineStr">
        <is>
          <t>contribuição ÷ preço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Torta de Limão</t>
        </is>
      </c>
    </row>
    <row r="2">
      <c r="A2" s="2" t="inlineStr">
        <is>
          <t>linha SPECIAL · 140 g de gelato por pote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LEITE ZERO LACTOSE (INTEGRAL)</t>
        </is>
      </c>
      <c r="B5" s="25" t="n">
        <v>614</v>
      </c>
      <c r="C5" s="26">
        <f>B5*140.0000/1000</f>
        <v/>
      </c>
      <c r="D5" s="9">
        <f>IFERROR(VLOOKUP(A5,PREÇOS!$A$5:$B$28,2,FALSE),0)</f>
        <v/>
      </c>
      <c r="E5" s="27">
        <f>C5*D5/1000</f>
        <v/>
      </c>
      <c r="F5" s="28">
        <f>IFERROR(E5/$E$13,0)</f>
        <v/>
      </c>
    </row>
    <row r="6">
      <c r="A6" t="inlineStr">
        <is>
          <t>MIX OFICIAL</t>
        </is>
      </c>
      <c r="B6" s="25" t="n">
        <v>150</v>
      </c>
      <c r="C6" s="26">
        <f>B6*140.0000/1000</f>
        <v/>
      </c>
      <c r="D6" s="9">
        <f>IFERROR(VLOOKUP(A6,PREÇOS!$A$5:$B$28,2,FALSE),0)</f>
        <v/>
      </c>
      <c r="E6" s="27">
        <f>C6*D6/1000</f>
        <v/>
      </c>
      <c r="F6" s="28">
        <f>IFERROR(E6/$E$13,0)</f>
        <v/>
      </c>
    </row>
    <row r="7">
      <c r="A7" t="inlineStr">
        <is>
          <t>CREME DE LEITE FRESCO 35% ZL (VERDE CAMPO LACFREE)</t>
        </is>
      </c>
      <c r="B7" s="25" t="n">
        <v>102</v>
      </c>
      <c r="C7" s="26">
        <f>B7*140.0000/1000</f>
        <v/>
      </c>
      <c r="D7" s="9">
        <f>IFERROR(VLOOKUP(A7,PREÇOS!$A$5:$B$28,2,FALSE),0)</f>
        <v/>
      </c>
      <c r="E7" s="27">
        <f>C7*D7/1000</f>
        <v/>
      </c>
      <c r="F7" s="28">
        <f>IFERROR(E7/$E$13,0)</f>
        <v/>
      </c>
    </row>
    <row r="8">
      <c r="A8" t="inlineStr">
        <is>
          <t>GUSTO LIMONE SICILIA (PÓ)</t>
        </is>
      </c>
      <c r="B8" s="25" t="n">
        <v>60</v>
      </c>
      <c r="C8" s="26">
        <f>B8*140.0000/1000</f>
        <v/>
      </c>
      <c r="D8" s="9">
        <f>IFERROR(VLOOKUP(A8,PREÇOS!$A$5:$B$28,2,FALSE),0)</f>
        <v/>
      </c>
      <c r="E8" s="27">
        <f>C8*D8/1000</f>
        <v/>
      </c>
      <c r="F8" s="28">
        <f>IFERROR(E8/$E$13,0)</f>
        <v/>
      </c>
    </row>
    <row r="9">
      <c r="A9" t="inlineStr">
        <is>
          <t>LEITE EM PO DESNATADO ZL (BATAVO PENSE ZERO)</t>
        </is>
      </c>
      <c r="B9" s="25" t="n">
        <v>33</v>
      </c>
      <c r="C9" s="26">
        <f>B9*140.0000/1000</f>
        <v/>
      </c>
      <c r="D9" s="9">
        <f>IFERROR(VLOOKUP(A9,PREÇOS!$A$5:$B$28,2,FALSE),0)</f>
        <v/>
      </c>
      <c r="E9" s="27">
        <f>C9*D9/1000</f>
        <v/>
      </c>
      <c r="F9" s="28">
        <f>IFERROR(E9/$E$13,0)</f>
        <v/>
      </c>
    </row>
    <row r="10">
      <c r="A10" t="inlineStr">
        <is>
          <t>POLIDEXTROSE</t>
        </is>
      </c>
      <c r="B10" s="25" t="n">
        <v>20</v>
      </c>
      <c r="C10" s="26">
        <f>B10*140.0000/1000</f>
        <v/>
      </c>
      <c r="D10" s="9">
        <f>IFERROR(VLOOKUP(A10,PREÇOS!$A$5:$B$28,2,FALSE),0)</f>
        <v/>
      </c>
      <c r="E10" s="27">
        <f>C10*D10/1000</f>
        <v/>
      </c>
      <c r="F10" s="28">
        <f>IFERROR(E10/$E$13,0)</f>
        <v/>
      </c>
    </row>
    <row r="11">
      <c r="A11" t="inlineStr">
        <is>
          <t>GLICEROL (GLICERINA BIDESTILADA)</t>
        </is>
      </c>
      <c r="B11" s="25" t="n">
        <v>15</v>
      </c>
      <c r="C11" s="26">
        <f>B11*140.0000/1000</f>
        <v/>
      </c>
      <c r="D11" s="9">
        <f>IFERROR(VLOOKUP(A11,PREÇOS!$A$5:$B$28,2,FALSE),0)</f>
        <v/>
      </c>
      <c r="E11" s="27">
        <f>C11*D11/1000</f>
        <v/>
      </c>
      <c r="F11" s="28">
        <f>IFERROR(E11/$E$13,0)</f>
        <v/>
      </c>
    </row>
    <row r="12">
      <c r="A12" t="inlineStr">
        <is>
          <t>CREMOBENE PREMIUM (LIGA NEUTRA)</t>
        </is>
      </c>
      <c r="B12" s="25" t="n">
        <v>6</v>
      </c>
      <c r="C12" s="26">
        <f>B12*140.0000/1000</f>
        <v/>
      </c>
      <c r="D12" s="9">
        <f>IFERROR(VLOOKUP(A12,PREÇOS!$A$5:$B$28,2,FALSE),0)</f>
        <v/>
      </c>
      <c r="E12" s="27">
        <f>C12*D12/1000</f>
        <v/>
      </c>
      <c r="F12" s="28">
        <f>IFERROR(E12/$E$13,0)</f>
        <v/>
      </c>
    </row>
    <row r="13">
      <c r="A13" s="10" t="inlineStr">
        <is>
          <t>INSUMO (sem perda)</t>
        </is>
      </c>
      <c r="B13" s="11" t="n"/>
      <c r="C13" s="29">
        <f>SUM(C5:C12)</f>
        <v/>
      </c>
      <c r="D13" s="11" t="n"/>
      <c r="E13" s="30">
        <f>SUM(E5:E12)</f>
        <v/>
      </c>
      <c r="F13" s="11" t="n"/>
    </row>
    <row r="15">
      <c r="A15" s="4" t="inlineStr">
        <is>
          <t>FECHAMENTO</t>
        </is>
      </c>
    </row>
    <row r="16" ht="26" customHeight="1">
      <c r="A16" s="3" t="inlineStr">
        <is>
          <t>Linha</t>
        </is>
      </c>
      <c r="B16" s="3" t="inlineStr">
        <is>
          <t>Valor</t>
        </is>
      </c>
      <c r="C16" s="3" t="inlineStr">
        <is>
          <t>Como é calculado</t>
        </is>
      </c>
    </row>
    <row r="17">
      <c r="A17" t="inlineStr">
        <is>
          <t>Insumo com perda</t>
        </is>
      </c>
      <c r="B17" s="9">
        <f>E13/(1-PARÂMETROS!$B$6/100)</f>
        <v/>
      </c>
      <c r="C17" s="2" t="inlineStr">
        <is>
          <t>insumo ÷ (1 − perda de processo)</t>
        </is>
      </c>
    </row>
    <row r="18">
      <c r="A18" t="inlineStr">
        <is>
          <t>Embalagem</t>
        </is>
      </c>
      <c r="B18" s="9">
        <f>PARÂMETROS!$D$14</f>
        <v/>
      </c>
      <c r="C18" s="2" t="inlineStr">
        <is>
          <t>pote + colher + lacre, da aba PARÂMETROS</t>
        </is>
      </c>
    </row>
    <row r="19">
      <c r="A19" s="31" t="inlineStr">
        <is>
          <t>CMV TOTAL</t>
        </is>
      </c>
      <c r="B19" s="32">
        <f>B17+B18</f>
        <v/>
      </c>
      <c r="C19" s="33" t="inlineStr">
        <is>
          <t>insumo com perda + embalagem</t>
        </is>
      </c>
    </row>
    <row r="20">
      <c r="A20" t="inlineStr">
        <is>
          <t>Preço de venda</t>
        </is>
      </c>
      <c r="B20" s="9">
        <f>VENDA!C9</f>
        <v/>
      </c>
      <c r="C20" s="2" t="inlineStr">
        <is>
          <t>da aba VENDA</t>
        </is>
      </c>
    </row>
    <row r="21">
      <c r="A21" t="inlineStr">
        <is>
          <t>Imposto</t>
        </is>
      </c>
      <c r="B21" s="9">
        <f>B20*PARÂMETROS!$B$7/100</f>
        <v/>
      </c>
      <c r="C21" s="2" t="inlineStr">
        <is>
          <t>preço × alíquota do Simples</t>
        </is>
      </c>
    </row>
    <row r="22">
      <c r="A22" t="inlineStr">
        <is>
          <t>Contribuição</t>
        </is>
      </c>
      <c r="B22" s="9">
        <f>B20-B19-B21</f>
        <v/>
      </c>
      <c r="C22" s="2" t="inlineStr">
        <is>
          <t>preço − CMV − imposto</t>
        </is>
      </c>
    </row>
    <row r="23">
      <c r="A23" t="inlineStr">
        <is>
          <t>CMV % do preço</t>
        </is>
      </c>
      <c r="B23" s="28">
        <f>IFERROR(B19/B20,0)</f>
        <v/>
      </c>
      <c r="C23" s="2" t="inlineStr">
        <is>
          <t>CMV ÷ preço</t>
        </is>
      </c>
    </row>
    <row r="24">
      <c r="A24" s="31" t="inlineStr">
        <is>
          <t>Margem de contribuição</t>
        </is>
      </c>
      <c r="B24" s="34">
        <f>IFERROR(B22/B20,0)</f>
        <v/>
      </c>
      <c r="C24" s="33" t="inlineStr">
        <is>
          <t>contribuição ÷ preço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Alfajor</t>
        </is>
      </c>
    </row>
    <row r="2">
      <c r="A2" s="2" t="inlineStr">
        <is>
          <t>linha SPECIAL · 135 g de gelato por pote + 15.0 g de cobertura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LEITE ZERO LACTOSE (INTEGRAL)</t>
        </is>
      </c>
      <c r="B5" s="25" t="n">
        <v>607.7</v>
      </c>
      <c r="C5" s="26">
        <f>B5*135.0000/1000</f>
        <v/>
      </c>
      <c r="D5" s="9">
        <f>IFERROR(VLOOKUP(A5,PREÇOS!$A$5:$B$28,2,FALSE),0)</f>
        <v/>
      </c>
      <c r="E5" s="27">
        <f>C5*D5/1000</f>
        <v/>
      </c>
      <c r="F5" s="28">
        <f>IFERROR(E5/$E$16,0)</f>
        <v/>
      </c>
    </row>
    <row r="6">
      <c r="A6" t="inlineStr">
        <is>
          <t>DOCE DE LEITE VIÇOSA ZERO</t>
        </is>
      </c>
      <c r="B6" s="25" t="n">
        <v>160</v>
      </c>
      <c r="C6" s="26">
        <f>B6*135.0000/1000</f>
        <v/>
      </c>
      <c r="D6" s="9">
        <f>IFERROR(VLOOKUP(A6,PREÇOS!$A$5:$B$28,2,FALSE),0)</f>
        <v/>
      </c>
      <c r="E6" s="27">
        <f>C6*D6/1000</f>
        <v/>
      </c>
      <c r="F6" s="28">
        <f>IFERROR(E6/$E$16,0)</f>
        <v/>
      </c>
    </row>
    <row r="7">
      <c r="A7" t="inlineStr">
        <is>
          <t>POLIDEXTROSE</t>
        </is>
      </c>
      <c r="B7" s="25" t="n">
        <v>70</v>
      </c>
      <c r="C7" s="26">
        <f>B7*135.0000/1000</f>
        <v/>
      </c>
      <c r="D7" s="9">
        <f>IFERROR(VLOOKUP(A7,PREÇOS!$A$5:$B$28,2,FALSE),0)</f>
        <v/>
      </c>
      <c r="E7" s="27">
        <f>C7*D7/1000</f>
        <v/>
      </c>
      <c r="F7" s="28">
        <f>IFERROR(E7/$E$16,0)</f>
        <v/>
      </c>
    </row>
    <row r="8">
      <c r="A8" t="inlineStr">
        <is>
          <t>CREME DE LEITE FRESCO 35% ZL (VERDE CAMPO LACFREE)</t>
        </is>
      </c>
      <c r="B8" s="25" t="n">
        <v>60</v>
      </c>
      <c r="C8" s="26">
        <f>B8*135.0000/1000</f>
        <v/>
      </c>
      <c r="D8" s="9">
        <f>IFERROR(VLOOKUP(A8,PREÇOS!$A$5:$B$28,2,FALSE),0)</f>
        <v/>
      </c>
      <c r="E8" s="27">
        <f>C8*D8/1000</f>
        <v/>
      </c>
      <c r="F8" s="28">
        <f>IFERROR(E8/$E$16,0)</f>
        <v/>
      </c>
    </row>
    <row r="9">
      <c r="A9" t="inlineStr">
        <is>
          <t>LEITE EM PO DESNATADO ZL (BATAVO PENSE ZERO)</t>
        </is>
      </c>
      <c r="B9" s="25" t="n">
        <v>50</v>
      </c>
      <c r="C9" s="26">
        <f>B9*135.0000/1000</f>
        <v/>
      </c>
      <c r="D9" s="9">
        <f>IFERROR(VLOOKUP(A9,PREÇOS!$A$5:$B$28,2,FALSE),0)</f>
        <v/>
      </c>
      <c r="E9" s="27">
        <f>C9*D9/1000</f>
        <v/>
      </c>
      <c r="F9" s="28">
        <f>IFERROR(E9/$E$16,0)</f>
        <v/>
      </c>
    </row>
    <row r="10">
      <c r="A10" t="inlineStr">
        <is>
          <t>MALTITOL</t>
        </is>
      </c>
      <c r="B10" s="25" t="n">
        <v>30</v>
      </c>
      <c r="C10" s="26">
        <f>B10*135.0000/1000</f>
        <v/>
      </c>
      <c r="D10" s="9">
        <f>IFERROR(VLOOKUP(A10,PREÇOS!$A$5:$B$28,2,FALSE),0)</f>
        <v/>
      </c>
      <c r="E10" s="27">
        <f>C10*D10/1000</f>
        <v/>
      </c>
      <c r="F10" s="28">
        <f>IFERROR(E10/$E$16,0)</f>
        <v/>
      </c>
    </row>
    <row r="11">
      <c r="A11" t="inlineStr">
        <is>
          <t>GLICEROL (GLICERINA BIDESTILADA)</t>
        </is>
      </c>
      <c r="B11" s="25" t="n">
        <v>15</v>
      </c>
      <c r="C11" s="26">
        <f>B11*135.0000/1000</f>
        <v/>
      </c>
      <c r="D11" s="9">
        <f>IFERROR(VLOOKUP(A11,PREÇOS!$A$5:$B$28,2,FALSE),0)</f>
        <v/>
      </c>
      <c r="E11" s="27">
        <f>C11*D11/1000</f>
        <v/>
      </c>
      <c r="F11" s="28">
        <f>IFERROR(E11/$E$16,0)</f>
        <v/>
      </c>
    </row>
    <row r="12">
      <c r="A12" t="inlineStr">
        <is>
          <t>CREMOBENE PREMIUM (LIGA NEUTRA)</t>
        </is>
      </c>
      <c r="B12" s="25" t="n">
        <v>6</v>
      </c>
      <c r="C12" s="26">
        <f>B12*135.0000/1000</f>
        <v/>
      </c>
      <c r="D12" s="9">
        <f>IFERROR(VLOOKUP(A12,PREÇOS!$A$5:$B$28,2,FALSE),0)</f>
        <v/>
      </c>
      <c r="E12" s="27">
        <f>C12*D12/1000</f>
        <v/>
      </c>
      <c r="F12" s="28">
        <f>IFERROR(E12/$E$16,0)</f>
        <v/>
      </c>
    </row>
    <row r="13">
      <c r="A13" t="inlineStr">
        <is>
          <t>SAL</t>
        </is>
      </c>
      <c r="B13" s="25" t="n">
        <v>1</v>
      </c>
      <c r="C13" s="26">
        <f>B13*135.0000/1000</f>
        <v/>
      </c>
      <c r="D13" s="9">
        <f>IFERROR(VLOOKUP(A13,PREÇOS!$A$5:$B$28,2,FALSE),0)</f>
        <v/>
      </c>
      <c r="E13" s="27">
        <f>C13*D13/1000</f>
        <v/>
      </c>
      <c r="F13" s="28">
        <f>IFERROR(E13/$E$16,0)</f>
        <v/>
      </c>
    </row>
    <row r="14">
      <c r="A14" t="inlineStr">
        <is>
          <t>STEVIA</t>
        </is>
      </c>
      <c r="B14" s="25" t="n">
        <v>0.3</v>
      </c>
      <c r="C14" s="26">
        <f>B14*135.0000/1000</f>
        <v/>
      </c>
      <c r="D14" s="9">
        <f>IFERROR(VLOOKUP(A14,PREÇOS!$A$5:$B$28,2,FALSE),0)</f>
        <v/>
      </c>
      <c r="E14" s="27">
        <f>C14*D14/1000</f>
        <v/>
      </c>
      <c r="F14" s="28">
        <f>IFERROR(E14/$E$16,0)</f>
        <v/>
      </c>
    </row>
    <row r="15">
      <c r="A15" t="inlineStr">
        <is>
          <t>BISCOITO ALFAJOR DE CHOCOLATE (ZERO LACTOSE)</t>
        </is>
      </c>
      <c r="B15" s="25" t="n">
        <v>111</v>
      </c>
      <c r="C15" s="26">
        <f>B15*135.0000/1000</f>
        <v/>
      </c>
      <c r="D15" s="9">
        <f>IFERROR(VLOOKUP(A15,PREÇOS!$A$5:$B$28,2,FALSE),0)</f>
        <v/>
      </c>
      <c r="E15" s="27">
        <f>C15*D15/1000</f>
        <v/>
      </c>
      <c r="F15" s="28">
        <f>IFERROR(E15/$E$16,0)</f>
        <v/>
      </c>
    </row>
    <row r="16">
      <c r="A16" s="10" t="inlineStr">
        <is>
          <t>INSUMO (sem perda)</t>
        </is>
      </c>
      <c r="B16" s="11" t="n"/>
      <c r="C16" s="29">
        <f>SUM(C5:C15)</f>
        <v/>
      </c>
      <c r="D16" s="11" t="n"/>
      <c r="E16" s="30">
        <f>SUM(E5:E15)</f>
        <v/>
      </c>
      <c r="F16" s="11" t="n"/>
    </row>
    <row r="18">
      <c r="A18" s="4" t="inlineStr">
        <is>
          <t>FECHAMENTO</t>
        </is>
      </c>
    </row>
    <row r="19" ht="26" customHeight="1">
      <c r="A19" s="3" t="inlineStr">
        <is>
          <t>Linha</t>
        </is>
      </c>
      <c r="B19" s="3" t="inlineStr">
        <is>
          <t>Valor</t>
        </is>
      </c>
      <c r="C19" s="3" t="inlineStr">
        <is>
          <t>Como é calculado</t>
        </is>
      </c>
    </row>
    <row r="20">
      <c r="A20" t="inlineStr">
        <is>
          <t>Insumo com perda</t>
        </is>
      </c>
      <c r="B20" s="9">
        <f>E16/(1-PARÂMETROS!$B$6/100)</f>
        <v/>
      </c>
      <c r="C20" s="2" t="inlineStr">
        <is>
          <t>insumo ÷ (1 − perda de processo)</t>
        </is>
      </c>
    </row>
    <row r="21">
      <c r="A21" t="inlineStr">
        <is>
          <t>Embalagem</t>
        </is>
      </c>
      <c r="B21" s="9">
        <f>PARÂMETROS!$D$14</f>
        <v/>
      </c>
      <c r="C21" s="2" t="inlineStr">
        <is>
          <t>pote + colher + lacre, da aba PARÂMETROS</t>
        </is>
      </c>
    </row>
    <row r="22">
      <c r="A22" s="31" t="inlineStr">
        <is>
          <t>CMV TOTAL</t>
        </is>
      </c>
      <c r="B22" s="32">
        <f>B20+B21</f>
        <v/>
      </c>
      <c r="C22" s="33" t="inlineStr">
        <is>
          <t>insumo com perda + embalagem</t>
        </is>
      </c>
    </row>
    <row r="23">
      <c r="A23" t="inlineStr">
        <is>
          <t>Preço de venda</t>
        </is>
      </c>
      <c r="B23" s="9">
        <f>VENDA!C10</f>
        <v/>
      </c>
      <c r="C23" s="2" t="inlineStr">
        <is>
          <t>da aba VENDA</t>
        </is>
      </c>
    </row>
    <row r="24">
      <c r="A24" t="inlineStr">
        <is>
          <t>Imposto</t>
        </is>
      </c>
      <c r="B24" s="9">
        <f>B23*PARÂMETROS!$B$7/100</f>
        <v/>
      </c>
      <c r="C24" s="2" t="inlineStr">
        <is>
          <t>preço × alíquota do Simples</t>
        </is>
      </c>
    </row>
    <row r="25">
      <c r="A25" t="inlineStr">
        <is>
          <t>Contribuição</t>
        </is>
      </c>
      <c r="B25" s="9">
        <f>B23-B22-B24</f>
        <v/>
      </c>
      <c r="C25" s="2" t="inlineStr">
        <is>
          <t>preço − CMV − imposto</t>
        </is>
      </c>
    </row>
    <row r="26">
      <c r="A26" t="inlineStr">
        <is>
          <t>CMV % do preço</t>
        </is>
      </c>
      <c r="B26" s="28">
        <f>IFERROR(B22/B23,0)</f>
        <v/>
      </c>
      <c r="C26" s="2" t="inlineStr">
        <is>
          <t>CMV ÷ preço</t>
        </is>
      </c>
    </row>
    <row r="27">
      <c r="A27" s="31" t="inlineStr">
        <is>
          <t>Margem de contribuição</t>
        </is>
      </c>
      <c r="B27" s="34">
        <f>IFERROR(B25/B23,0)</f>
        <v/>
      </c>
      <c r="C27" s="33" t="inlineStr">
        <is>
          <t>contribuição ÷ preço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CMV — Brigadeiro Proteico</t>
        </is>
      </c>
    </row>
    <row r="2">
      <c r="A2" s="2" t="inlineStr">
        <is>
          <t>linha BOOST · 140 g de gelato por pote</t>
        </is>
      </c>
    </row>
    <row r="4" ht="26" customHeight="1">
      <c r="A4" s="3" t="inlineStr">
        <is>
          <t>Ingrediente</t>
        </is>
      </c>
      <c r="B4" s="3" t="inlineStr">
        <is>
          <t>g por kg de calda</t>
        </is>
      </c>
      <c r="C4" s="3" t="inlineStr">
        <is>
          <t>g no pote</t>
        </is>
      </c>
      <c r="D4" s="3" t="inlineStr">
        <is>
          <t>R$/kg</t>
        </is>
      </c>
      <c r="E4" s="3" t="inlineStr">
        <is>
          <t>R$ no pote</t>
        </is>
      </c>
      <c r="F4" s="3" t="inlineStr">
        <is>
          <t>% do insumo</t>
        </is>
      </c>
    </row>
    <row r="5">
      <c r="A5" t="inlineStr">
        <is>
          <t>LEITE ZERO LACTOSE (INTEGRAL)</t>
        </is>
      </c>
      <c r="B5" s="25" t="n">
        <v>668.5</v>
      </c>
      <c r="C5" s="26">
        <f>B5*140.0000/1000</f>
        <v/>
      </c>
      <c r="D5" s="9">
        <f>IFERROR(VLOOKUP(A5,PREÇOS!$A$5:$B$28,2,FALSE),0)</f>
        <v/>
      </c>
      <c r="E5" s="27">
        <f>C5*D5/1000</f>
        <v/>
      </c>
      <c r="F5" s="28">
        <f>IFERROR(E5/$E$14,0)</f>
        <v/>
      </c>
    </row>
    <row r="6">
      <c r="A6" t="inlineStr">
        <is>
          <t>BASE MEC PROTEIN</t>
        </is>
      </c>
      <c r="B6" s="25" t="n">
        <v>125</v>
      </c>
      <c r="C6" s="26">
        <f>B6*140.0000/1000</f>
        <v/>
      </c>
      <c r="D6" s="9">
        <f>IFERROR(VLOOKUP(A6,PREÇOS!$A$5:$B$28,2,FALSE),0)</f>
        <v/>
      </c>
      <c r="E6" s="27">
        <f>C6*D6/1000</f>
        <v/>
      </c>
      <c r="F6" s="28">
        <f>IFERROR(E6/$E$14,0)</f>
        <v/>
      </c>
    </row>
    <row r="7">
      <c r="A7" t="inlineStr">
        <is>
          <t>LEITE EM PO DESNATADO ZL (BATAVO PENSE ZERO)</t>
        </is>
      </c>
      <c r="B7" s="25" t="n">
        <v>115.4</v>
      </c>
      <c r="C7" s="26">
        <f>B7*140.0000/1000</f>
        <v/>
      </c>
      <c r="D7" s="9">
        <f>IFERROR(VLOOKUP(A7,PREÇOS!$A$5:$B$28,2,FALSE),0)</f>
        <v/>
      </c>
      <c r="E7" s="27">
        <f>C7*D7/1000</f>
        <v/>
      </c>
      <c r="F7" s="28">
        <f>IFERROR(E7/$E$14,0)</f>
        <v/>
      </c>
    </row>
    <row r="8">
      <c r="A8" t="inlineStr">
        <is>
          <t>CACAU 22/24</t>
        </is>
      </c>
      <c r="B8" s="25" t="n">
        <v>38.5</v>
      </c>
      <c r="C8" s="26">
        <f>B8*140.0000/1000</f>
        <v/>
      </c>
      <c r="D8" s="9">
        <f>IFERROR(VLOOKUP(A8,PREÇOS!$A$5:$B$28,2,FALSE),0)</f>
        <v/>
      </c>
      <c r="E8" s="27">
        <f>C8*D8/1000</f>
        <v/>
      </c>
      <c r="F8" s="28">
        <f>IFERROR(E8/$E$14,0)</f>
        <v/>
      </c>
    </row>
    <row r="9">
      <c r="A9" t="inlineStr">
        <is>
          <t>GLICEROL (GLICERINA BIDESTILADA)</t>
        </is>
      </c>
      <c r="B9" s="25" t="n">
        <v>28.9</v>
      </c>
      <c r="C9" s="26">
        <f>B9*140.0000/1000</f>
        <v/>
      </c>
      <c r="D9" s="9">
        <f>IFERROR(VLOOKUP(A9,PREÇOS!$A$5:$B$28,2,FALSE),0)</f>
        <v/>
      </c>
      <c r="E9" s="27">
        <f>C9*D9/1000</f>
        <v/>
      </c>
      <c r="F9" s="28">
        <f>IFERROR(E9/$E$14,0)</f>
        <v/>
      </c>
    </row>
    <row r="10">
      <c r="A10" t="inlineStr">
        <is>
          <t>POLIDEXTROSE</t>
        </is>
      </c>
      <c r="B10" s="25" t="n">
        <v>19.2</v>
      </c>
      <c r="C10" s="26">
        <f>B10*140.0000/1000</f>
        <v/>
      </c>
      <c r="D10" s="9">
        <f>IFERROR(VLOOKUP(A10,PREÇOS!$A$5:$B$28,2,FALSE),0)</f>
        <v/>
      </c>
      <c r="E10" s="27">
        <f>C10*D10/1000</f>
        <v/>
      </c>
      <c r="F10" s="28">
        <f>IFERROR(E10/$E$14,0)</f>
        <v/>
      </c>
    </row>
    <row r="11">
      <c r="A11" t="inlineStr">
        <is>
          <t>CREMOBENE PREMIUM (LIGA NEUTRA)</t>
        </is>
      </c>
      <c r="B11" s="25" t="n">
        <v>3</v>
      </c>
      <c r="C11" s="26">
        <f>B11*140.0000/1000</f>
        <v/>
      </c>
      <c r="D11" s="9">
        <f>IFERROR(VLOOKUP(A11,PREÇOS!$A$5:$B$28,2,FALSE),0)</f>
        <v/>
      </c>
      <c r="E11" s="27">
        <f>C11*D11/1000</f>
        <v/>
      </c>
      <c r="F11" s="28">
        <f>IFERROR(E11/$E$14,0)</f>
        <v/>
      </c>
    </row>
    <row r="12">
      <c r="A12" t="inlineStr">
        <is>
          <t>SAL</t>
        </is>
      </c>
      <c r="B12" s="25" t="n">
        <v>1</v>
      </c>
      <c r="C12" s="26">
        <f>B12*140.0000/1000</f>
        <v/>
      </c>
      <c r="D12" s="9">
        <f>IFERROR(VLOOKUP(A12,PREÇOS!$A$5:$B$28,2,FALSE),0)</f>
        <v/>
      </c>
      <c r="E12" s="27">
        <f>C12*D12/1000</f>
        <v/>
      </c>
      <c r="F12" s="28">
        <f>IFERROR(E12/$E$14,0)</f>
        <v/>
      </c>
    </row>
    <row r="13">
      <c r="A13" t="inlineStr">
        <is>
          <t>STEVIA</t>
        </is>
      </c>
      <c r="B13" s="25" t="n">
        <v>0.6</v>
      </c>
      <c r="C13" s="26">
        <f>B13*140.0000/1000</f>
        <v/>
      </c>
      <c r="D13" s="9">
        <f>IFERROR(VLOOKUP(A13,PREÇOS!$A$5:$B$28,2,FALSE),0)</f>
        <v/>
      </c>
      <c r="E13" s="27">
        <f>C13*D13/1000</f>
        <v/>
      </c>
      <c r="F13" s="28">
        <f>IFERROR(E13/$E$14,0)</f>
        <v/>
      </c>
    </row>
    <row r="14">
      <c r="A14" s="10" t="inlineStr">
        <is>
          <t>INSUMO (sem perda)</t>
        </is>
      </c>
      <c r="B14" s="11" t="n"/>
      <c r="C14" s="29">
        <f>SUM(C5:C13)</f>
        <v/>
      </c>
      <c r="D14" s="11" t="n"/>
      <c r="E14" s="30">
        <f>SUM(E5:E13)</f>
        <v/>
      </c>
      <c r="F14" s="11" t="n"/>
    </row>
    <row r="16">
      <c r="A16" s="4" t="inlineStr">
        <is>
          <t>FECHAMENTO</t>
        </is>
      </c>
    </row>
    <row r="17" ht="26" customHeight="1">
      <c r="A17" s="3" t="inlineStr">
        <is>
          <t>Linha</t>
        </is>
      </c>
      <c r="B17" s="3" t="inlineStr">
        <is>
          <t>Valor</t>
        </is>
      </c>
      <c r="C17" s="3" t="inlineStr">
        <is>
          <t>Como é calculado</t>
        </is>
      </c>
    </row>
    <row r="18">
      <c r="A18" t="inlineStr">
        <is>
          <t>Insumo com perda</t>
        </is>
      </c>
      <c r="B18" s="9">
        <f>E14/(1-PARÂMETROS!$B$6/100)</f>
        <v/>
      </c>
      <c r="C18" s="2" t="inlineStr">
        <is>
          <t>insumo ÷ (1 − perda de processo)</t>
        </is>
      </c>
    </row>
    <row r="19">
      <c r="A19" t="inlineStr">
        <is>
          <t>Embalagem</t>
        </is>
      </c>
      <c r="B19" s="9">
        <f>PARÂMETROS!$D$14</f>
        <v/>
      </c>
      <c r="C19" s="2" t="inlineStr">
        <is>
          <t>pote + colher + lacre, da aba PARÂMETROS</t>
        </is>
      </c>
    </row>
    <row r="20">
      <c r="A20" s="31" t="inlineStr">
        <is>
          <t>CMV TOTAL</t>
        </is>
      </c>
      <c r="B20" s="32">
        <f>B18+B19</f>
        <v/>
      </c>
      <c r="C20" s="33" t="inlineStr">
        <is>
          <t>insumo com perda + embalagem</t>
        </is>
      </c>
    </row>
    <row r="21">
      <c r="A21" t="inlineStr">
        <is>
          <t>Preço de venda</t>
        </is>
      </c>
      <c r="B21" s="9">
        <f>VENDA!C11</f>
        <v/>
      </c>
      <c r="C21" s="2" t="inlineStr">
        <is>
          <t>da aba VENDA</t>
        </is>
      </c>
    </row>
    <row r="22">
      <c r="A22" t="inlineStr">
        <is>
          <t>Imposto</t>
        </is>
      </c>
      <c r="B22" s="9">
        <f>B21*PARÂMETROS!$B$7/100</f>
        <v/>
      </c>
      <c r="C22" s="2" t="inlineStr">
        <is>
          <t>preço × alíquota do Simples</t>
        </is>
      </c>
    </row>
    <row r="23">
      <c r="A23" t="inlineStr">
        <is>
          <t>Contribuição</t>
        </is>
      </c>
      <c r="B23" s="9">
        <f>B21-B20-B22</f>
        <v/>
      </c>
      <c r="C23" s="2" t="inlineStr">
        <is>
          <t>preço − CMV − imposto</t>
        </is>
      </c>
    </row>
    <row r="24">
      <c r="A24" t="inlineStr">
        <is>
          <t>CMV % do preço</t>
        </is>
      </c>
      <c r="B24" s="28">
        <f>IFERROR(B20/B21,0)</f>
        <v/>
      </c>
      <c r="C24" s="2" t="inlineStr">
        <is>
          <t>CMV ÷ preço</t>
        </is>
      </c>
    </row>
    <row r="25">
      <c r="A25" s="31" t="inlineStr">
        <is>
          <t>Margem de contribuição</t>
        </is>
      </c>
      <c r="B25" s="34">
        <f>IFERROR(B23/B21,0)</f>
        <v/>
      </c>
      <c r="C25" s="33" t="inlineStr">
        <is>
          <t>contribuição ÷ preço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2026-10-21T15:24:25Z</dcterms:created>
  <dcterms:modified xmlns:dcterms="http://purl.org/dc/terms/" xmlns:xsi="http://www.w3.org/2001/XMLSchema-instance" xsi:type="dcterms:W3CDTF">2026-10-21T15:24:25Z</dcterms:modified>
</cp:coreProperties>
</file>