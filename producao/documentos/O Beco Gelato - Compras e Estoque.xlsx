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LANO" sheetId="2" state="visible" r:id="rId2"/>
    <sheet xmlns:r="http://schemas.openxmlformats.org/officeDocument/2006/relationships" name="FORNECEDORES" sheetId="3" state="visible" r:id="rId3"/>
    <sheet xmlns:r="http://schemas.openxmlformats.org/officeDocument/2006/relationships" name="ESTOQUE INSUMOS" sheetId="4" state="visible" r:id="rId4"/>
    <sheet xmlns:r="http://schemas.openxmlformats.org/officeDocument/2006/relationships" name="EMBALAGEM" sheetId="5" state="visible" r:id="rId5"/>
    <sheet xmlns:r="http://schemas.openxmlformats.org/officeDocument/2006/relationships" name="POTES PRONTOS" sheetId="6" state="visible" r:id="rId6"/>
    <sheet xmlns:r="http://schemas.openxmlformats.org/officeDocument/2006/relationships" name="TESTES" sheetId="7" state="visible" r:id="rId7"/>
    <sheet xmlns:r="http://schemas.openxmlformats.org/officeDocument/2006/relationships" name="MOVIMEN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#,##0.0"/>
    <numFmt numFmtId="166" formatCode="#,##0.000"/>
    <numFmt numFmtId="167" formatCode="0.0%"/>
  </numFmts>
  <fonts count="18">
    <font>
      <name val="Calibri"/>
      <family val="2"/>
      <color theme="1"/>
      <sz val="11"/>
      <scheme val="minor"/>
    </font>
    <font>
      <b val="1"/>
      <color rgb="001B5E20"/>
      <sz val="18"/>
    </font>
    <font>
      <color rgb="00546E7A"/>
      <sz val="10"/>
    </font>
    <font>
      <b val="1"/>
      <color rgb="00263238"/>
      <sz val="11"/>
    </font>
    <font>
      <sz val="10"/>
    </font>
    <font>
      <b val="1"/>
      <color rgb="001B5E20"/>
      <sz val="15"/>
    </font>
    <font>
      <i val="1"/>
      <color rgb="00546E7A"/>
      <sz val="9"/>
    </font>
    <font>
      <b val="1"/>
      <sz val="10"/>
    </font>
    <font>
      <b val="1"/>
      <color rgb="00FFFFFF"/>
      <sz val="9"/>
    </font>
    <font>
      <b val="1"/>
    </font>
    <font>
      <i val="1"/>
      <color rgb="002E7D32"/>
      <sz val="9"/>
    </font>
    <font>
      <b val="1"/>
      <color rgb="00263238"/>
      <sz val="10"/>
    </font>
    <font>
      <color rgb="00546E7A"/>
      <sz val="9"/>
    </font>
    <font>
      <b val="1"/>
      <sz val="9"/>
    </font>
    <font>
      <i val="1"/>
      <color rgb="00C62828"/>
      <sz val="9"/>
    </font>
    <font>
      <sz val="9"/>
    </font>
    <font>
      <i val="1"/>
      <sz val="9"/>
    </font>
    <font>
      <b val="1"/>
      <color rgb="001B5E20"/>
      <sz val="13"/>
    </font>
  </fonts>
  <fills count="8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37474F"/>
      </patternFill>
    </fill>
    <fill>
      <patternFill patternType="solid">
        <fgColor rgb="00C8E6C9"/>
      </patternFill>
    </fill>
    <fill>
      <patternFill patternType="solid">
        <fgColor rgb="00ECEFF1"/>
      </patternFill>
    </fill>
    <fill>
      <patternFill patternType="solid">
        <fgColor rgb="00FFCDD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164" fontId="0" fillId="2" borderId="1" pivotButton="0" quotePrefix="0" xfId="0"/>
    <xf numFmtId="164" fontId="0" fillId="0" borderId="1" pivotButton="0" quotePrefix="0" xfId="0"/>
    <xf numFmtId="0" fontId="9" fillId="0" borderId="0" pivotButton="0" quotePrefix="0" xfId="0"/>
    <xf numFmtId="1" fontId="9" fillId="4" borderId="1" pivotButton="0" quotePrefix="0" xfId="0"/>
    <xf numFmtId="2" fontId="9" fillId="4" borderId="1" pivotButton="0" quotePrefix="0" xfId="0"/>
    <xf numFmtId="164" fontId="9" fillId="4" borderId="1" pivotButton="0" quotePrefix="0" xfId="0"/>
    <xf numFmtId="164" fontId="0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10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165" fontId="0" fillId="2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13" fillId="0" borderId="1" pivotButton="0" quotePrefix="0" xfId="0"/>
    <xf numFmtId="0" fontId="0" fillId="5" borderId="1" pivotButton="0" quotePrefix="0" xfId="0"/>
    <xf numFmtId="3" fontId="0" fillId="2" borderId="1" pivotButton="0" quotePrefix="0" xfId="0"/>
    <xf numFmtId="3" fontId="9" fillId="0" borderId="1" pivotButton="0" quotePrefix="0" xfId="0"/>
    <xf numFmtId="3" fontId="0" fillId="0" borderId="1" pivotButton="0" quotePrefix="0" xfId="0"/>
    <xf numFmtId="3" fontId="9" fillId="6" borderId="1" pivotButton="0" quotePrefix="0" xfId="0"/>
    <xf numFmtId="0" fontId="10" fillId="0" borderId="0" pivotButton="0" quotePrefix="0" xfId="0"/>
    <xf numFmtId="3" fontId="9" fillId="4" borderId="1" pivotButton="0" quotePrefix="0" xfId="0"/>
    <xf numFmtId="0" fontId="6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1" pivotButton="0" quotePrefix="0" xfId="0"/>
    <xf numFmtId="166" fontId="0" fillId="2" borderId="1" pivotButton="0" quotePrefix="0" xfId="0"/>
    <xf numFmtId="164" fontId="9" fillId="0" borderId="1" pivotButton="0" quotePrefix="0" xfId="0"/>
    <xf numFmtId="164" fontId="0" fillId="7" borderId="1" pivotButton="0" quotePrefix="0" xfId="0"/>
    <xf numFmtId="0" fontId="16" fillId="0" borderId="0" pivotButton="0" quotePrefix="0" xfId="0"/>
    <xf numFmtId="0" fontId="13" fillId="0" borderId="0" pivotButton="0" quotePrefix="0" xfId="0"/>
    <xf numFmtId="164" fontId="9" fillId="2" borderId="1" pivotButton="0" quotePrefix="0" xfId="0"/>
    <xf numFmtId="0" fontId="17" fillId="0" borderId="0" pivotButton="0" quotePrefix="0" xfId="0"/>
    <xf numFmtId="0" fontId="4" fillId="0" borderId="0" pivotButton="0" quotePrefix="0" xfId="0"/>
    <xf numFmtId="167" fontId="0" fillId="2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O BECO GELATO — COMPRAS E ESTOQUE</t>
        </is>
      </c>
    </row>
    <row r="3">
      <c r="B3" s="2" t="inlineStr">
        <is>
          <t>22 de outubro de 2026</t>
        </is>
      </c>
    </row>
    <row r="6">
      <c r="B6" s="3" t="inlineStr">
        <is>
          <t>O QUE TEM AQUI</t>
        </is>
      </c>
    </row>
    <row r="7" ht="28" customHeight="1">
      <c r="B7" s="4" t="inlineStr">
        <is>
          <t>PLANO DE PRODUCAO — voce diz quantos potes de cada sabor pretende fazer. Tudo o resto se recalcula a partir daqui.</t>
        </is>
      </c>
    </row>
    <row r="8" ht="15" customHeight="1">
      <c r="B8" s="4" t="inlineStr">
        <is>
          <t>FORNECEDORES — cada insumo, de quem vem, embalagem e preco por quilo.</t>
        </is>
      </c>
    </row>
    <row r="9" ht="28" customHeight="1">
      <c r="B9" s="4" t="inlineStr">
        <is>
          <t>ESTOQUE INSUMOS — o que tem contra o que o plano exige, com a falta e o custo de cobrir a falta.</t>
        </is>
      </c>
    </row>
    <row r="10" ht="15" customHeight="1">
      <c r="B10" s="4" t="inlineStr">
        <is>
          <t>EMBALAGEM — pote, colher e lacre, e quantos potes cada saldo ainda fecha.</t>
        </is>
      </c>
    </row>
    <row r="11" ht="15" customHeight="1">
      <c r="B11" s="4" t="inlineStr">
        <is>
          <t>POTES PRONTOS — estoque de produto acabado por sabor, com entradas e saidas.</t>
        </is>
      </c>
    </row>
    <row r="12" ht="28" customHeight="1">
      <c r="B12" s="4" t="inlineStr">
        <is>
          <t>TESTES — cada calda que voce bateu para testar ou para comer, com o custo, e a verba mensal de P&amp;D.</t>
        </is>
      </c>
    </row>
    <row r="13" ht="28" customHeight="1">
      <c r="B13" s="4" t="inlineStr">
        <is>
          <t>MOVIMENTO — onde voce lanca cada producao e cada venda. E a unica aba que precisa de disciplina diaria.</t>
        </is>
      </c>
    </row>
    <row r="15">
      <c r="B15" s="3" t="inlineStr">
        <is>
          <t>A COR DIZ SE PODE MEXER</t>
        </is>
      </c>
    </row>
    <row r="16" ht="15" customHeight="1">
      <c r="B16" s="4" t="inlineStr">
        <is>
          <t>AMARELO — campo seu. Digite.</t>
        </is>
      </c>
    </row>
    <row r="17" ht="15" customHeight="1">
      <c r="B17" s="4" t="inlineStr">
        <is>
          <t>BRANCO — formula. Se sobrescrever, quebra a conta.</t>
        </is>
      </c>
    </row>
    <row r="18" ht="28" customHeight="1">
      <c r="B18" s="4" t="inlineStr">
        <is>
          <t>CINZA — numero que veio do Balanceador de Receitas. Nao edite aqui: mude na receita e me peca para gerar a planilha de novo.</t>
        </is>
      </c>
    </row>
    <row r="20">
      <c r="B20" s="3" t="inlineStr">
        <is>
          <t>O QUE EU NAO TENHO — leia antes de confiar na aba FORNECEDORES</t>
        </is>
      </c>
    </row>
    <row r="21" ht="28" customHeight="1">
      <c r="B21" s="4" t="inlineStr">
        <is>
          <t>O sistema nunca teve campo de fornecedor. Nenhum. Eu tenho o preco de cada insumo, mas nao tenho de quem voce compra.</t>
        </is>
      </c>
    </row>
    <row r="22" ht="28" customHeight="1">
      <c r="B22" s="4" t="inlineStr">
        <is>
          <t>Preenchi 8 linhas com o que apareceu nas nossas conversas e marquei a procedencia de cada uma na coluna ORIGEM:</t>
        </is>
      </c>
    </row>
    <row r="23" ht="15" customHeight="1">
      <c r="B23" s="4" t="inlineStr">
        <is>
          <t xml:space="preserve">   'nota' = saiu de uma nota fiscal que voce me mandou. Confiavel.</t>
        </is>
      </c>
    </row>
    <row r="24" ht="28" customHeight="1">
      <c r="B24" s="4" t="inlineStr">
        <is>
          <t xml:space="preserve">   'ficha' = saiu da ficha tecnica do produto, entao o fabricante esta certo mas o distribuidor pode ser outro.</t>
        </is>
      </c>
    </row>
    <row r="25" ht="15" customHeight="1">
      <c r="B25" s="4" t="inlineStr">
        <is>
          <t xml:space="preserve">   'conversa' = voce mencionou de passagem. Confira.</t>
        </is>
      </c>
    </row>
    <row r="26" ht="15" customHeight="1">
      <c r="B26" s="4" t="inlineStr">
        <is>
          <t xml:space="preserve">   'cotacao' = e a cotacao nova de 21/10, ainda nao comprada.</t>
        </is>
      </c>
    </row>
    <row r="27" ht="28" customHeight="1">
      <c r="B27" s="4" t="inlineStr">
        <is>
          <t>As outras 15 linhas estao em branco de proposito. Inventar fornecedor seria pior que deixar vazio.</t>
        </is>
      </c>
    </row>
    <row r="29">
      <c r="B29" s="3" t="inlineStr">
        <is>
          <t>DUAS COISAS QUE A PLANILHA ASSUME</t>
        </is>
      </c>
    </row>
    <row r="30" ht="56" customHeight="1">
      <c r="B30" s="4" t="inlineStr">
        <is>
          <t>PERDA DE PROCESSO DE 3%. E o que esta no Balanceador, e o proprio bancada diz que esta alto: voce fez 30 potes de pistache e sairam 31, mesmo caso na torta de limao. Se a perda real for 1%, esta planilha pede 2% mais insumo do que voce precisa. Nao e erro grave para compras — sobra e melhor que faltar — mas quando voce pesar um pote eu corrijo o numero.</t>
        </is>
      </c>
    </row>
    <row r="31" ht="28" customHeight="1">
      <c r="B31" s="4" t="inlineStr">
        <is>
          <t>POTE DE 140 g. Media de 35 potes pesados em 16/10. O Alfajor e a excecao: 135 g de gelato mais 15 g de biscoito por cima.</t>
        </is>
      </c>
    </row>
    <row r="33">
      <c r="B33" s="3" t="inlineStr">
        <is>
          <t>O ESTOQUE DE POTES PRONTOS PARTE DA CONTAGEM DE 22/10 — 325 POTES</t>
        </is>
      </c>
    </row>
    <row r="34" ht="28" customHeight="1">
      <c r="B34" s="4" t="inlineStr">
        <is>
          <t>Contagem fisica ditada em 22/10/2026: Manga com Maracuja 60 · Torta de Limao 58 · Brigadeiro 51 · Pistache 46 · Cafe 40 · Alfajor 38 · Sorbet Morango 32.</t>
        </is>
      </c>
    </row>
    <row r="35" ht="42" customHeight="1">
      <c r="B35" s="4" t="inlineStr">
        <is>
          <t>Essa contagem ZERA A CONTA. Ela e posterior ao pedido 000007 (16/10), entao aqueles 125 potes ja sairam do numero contado — as linhas do pedido na aba MOVIMENTO ficaram com tipo HISTORICO para nao serem descontadas duas vezes. Toda contagem nova funciona assim.</t>
        </is>
      </c>
    </row>
    <row r="36" ht="56" customHeight="1">
      <c r="B36" s="4" t="inlineStr">
        <is>
          <t>DOIS FATOS QUE A CONTAGEM REVELOU. Primeiro: entre 13/10 (262 potes) e 22/10 a producao implicita foi de 188 potes, e nada disso estava lancado em lugar nenhum. Segundo: o morango nao fecha — eram 53, sairam 15, deveria haver 38 e ha 32. Faltam 6 potes, e pode ser degustacao, amostra, perda ou venda nao registrada; nao da para saber qual.</t>
        </is>
      </c>
    </row>
    <row r="37" ht="28" customHeight="1">
      <c r="B37" s="4" t="inlineStr">
        <is>
          <t>A partir de hoje, lance cada producao e cada saida na aba MOVIMENTO. E so assim que a proxima contagem vai poder ser conferida em vez de apenas substituir a anterior.</t>
        </is>
      </c>
    </row>
    <row r="39">
      <c r="B39" s="3" t="inlineStr">
        <is>
          <t>A ABA TESTES TEM O MESMO PROBLEMA, POR OUTRO MOTIVO</t>
        </is>
      </c>
    </row>
    <row r="40" ht="42" customHeight="1">
      <c r="B40" s="4" t="inlineStr">
        <is>
          <t>O sistema nunca registrou lote de teste. Nenhum. As 17 linhas que estao lá sao reconstruidas das nossas conversas, e cada uma carrega a coluna EVIDENCIA com a frase ou o fato que sustenta a linha.</t>
        </is>
      </c>
    </row>
    <row r="41" ht="56" customHeight="1">
      <c r="B41" s="4" t="inlineStr">
        <is>
          <t>O custo por quilo eu tenho para quase todas, porque as receitas estao cadastradas. O que falta e o VOLUME: eu so sei os kg que voce declarou em voz alta — 1,5 kg do pistache meia a meia, 750 g da base neutra, 1 kg do melagrana e 1 kg da canela. Os outros ficaram em branco de proposito, porque chutar quilo ali estragaria exatamente a media que voce quer usar para fixar a verba.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16" customWidth="1" min="5" max="5"/>
  </cols>
  <sheetData>
    <row r="1">
      <c r="A1" s="5" t="inlineStr">
        <is>
          <t>PLANO DE PRODUCAO</t>
        </is>
      </c>
    </row>
    <row r="2">
      <c r="A2" s="6" t="inlineStr">
        <is>
          <t>Quantos potes de cada sabor voce quer produzir no periodo. Esta aba comanda ESTOQUE INSUMOS e EMBALAGEM.</t>
        </is>
      </c>
    </row>
    <row r="4">
      <c r="A4" s="7" t="inlineStr">
        <is>
          <t>PERIODO DO PLANO</t>
        </is>
      </c>
      <c r="B4" s="8" t="inlineStr">
        <is>
          <t>30 dias</t>
        </is>
      </c>
    </row>
    <row r="6" ht="30" customHeight="1">
      <c r="A6" s="9" t="inlineStr">
        <is>
          <t>SABOR</t>
        </is>
      </c>
      <c r="B6" s="9" t="inlineStr">
        <is>
          <t>POTES
A PRODUZIR</t>
        </is>
      </c>
      <c r="C6" s="9" t="inlineStr">
        <is>
          <t>CALDA
NECESSARIA (kg)</t>
        </is>
      </c>
      <c r="D6" s="9" t="inlineStr">
        <is>
          <t>PRECO DE
VENDA (R$)</t>
        </is>
      </c>
      <c r="E6" s="9" t="inlineStr">
        <is>
          <t>RECEITA
PREVISTA (R$)</t>
        </is>
      </c>
    </row>
    <row r="7">
      <c r="A7" s="10" t="inlineStr">
        <is>
          <t>Café Proteico</t>
        </is>
      </c>
      <c r="B7" s="8" t="n">
        <v>30</v>
      </c>
      <c r="C7" s="11">
        <f>B7*0.1443</f>
        <v/>
      </c>
      <c r="D7" s="12" t="n">
        <v>20.5</v>
      </c>
      <c r="E7" s="13">
        <f>B7*D7</f>
        <v/>
      </c>
    </row>
    <row r="8">
      <c r="A8" s="10" t="inlineStr">
        <is>
          <t>Pistache</t>
        </is>
      </c>
      <c r="B8" s="8" t="n">
        <v>30</v>
      </c>
      <c r="C8" s="11">
        <f>B8*0.1443</f>
        <v/>
      </c>
      <c r="D8" s="12" t="n">
        <v>20.5</v>
      </c>
      <c r="E8" s="13">
        <f>B8*D8</f>
        <v/>
      </c>
    </row>
    <row r="9">
      <c r="A9" s="10" t="inlineStr">
        <is>
          <t>Manga com Maracujá</t>
        </is>
      </c>
      <c r="B9" s="8" t="n">
        <v>30</v>
      </c>
      <c r="C9" s="11">
        <f>B9*0.1331</f>
        <v/>
      </c>
      <c r="D9" s="12" t="n">
        <v>18.7</v>
      </c>
      <c r="E9" s="13">
        <f>B9*D9</f>
        <v/>
      </c>
    </row>
    <row r="10">
      <c r="A10" s="10" t="inlineStr">
        <is>
          <t>Sorbet Morango</t>
        </is>
      </c>
      <c r="B10" s="8" t="n">
        <v>30</v>
      </c>
      <c r="C10" s="11">
        <f>B10*0.1116</f>
        <v/>
      </c>
      <c r="D10" s="12" t="n">
        <v>18.7</v>
      </c>
      <c r="E10" s="13">
        <f>B10*D10</f>
        <v/>
      </c>
    </row>
    <row r="11">
      <c r="A11" s="10" t="inlineStr">
        <is>
          <t>Torta de Limão</t>
        </is>
      </c>
      <c r="B11" s="8" t="n">
        <v>30</v>
      </c>
      <c r="C11" s="11">
        <f>B11*0.1443</f>
        <v/>
      </c>
      <c r="D11" s="12" t="n">
        <v>20.5</v>
      </c>
      <c r="E11" s="13">
        <f>B11*D11</f>
        <v/>
      </c>
    </row>
    <row r="12">
      <c r="A12" s="10" t="inlineStr">
        <is>
          <t>Alfajor</t>
        </is>
      </c>
      <c r="B12" s="8" t="n">
        <v>30</v>
      </c>
      <c r="C12" s="11">
        <f>B12*0.1546</f>
        <v/>
      </c>
      <c r="D12" s="12" t="n">
        <v>20.5</v>
      </c>
      <c r="E12" s="13">
        <f>B12*D12</f>
        <v/>
      </c>
    </row>
    <row r="13">
      <c r="A13" s="10" t="inlineStr">
        <is>
          <t>Brigadeiro Proteico</t>
        </is>
      </c>
      <c r="B13" s="8" t="n">
        <v>30</v>
      </c>
      <c r="C13" s="11">
        <f>B13*0.1443</f>
        <v/>
      </c>
      <c r="D13" s="12" t="n">
        <v>20.5</v>
      </c>
      <c r="E13" s="13">
        <f>B13*D13</f>
        <v/>
      </c>
    </row>
    <row r="14">
      <c r="A14" s="14" t="inlineStr">
        <is>
          <t>TOTAL</t>
        </is>
      </c>
      <c r="B14" s="15">
        <f>SUM(B7:B13)</f>
        <v/>
      </c>
      <c r="C14" s="16">
        <f>SUM(C7:C13)</f>
        <v/>
      </c>
      <c r="E14" s="17">
        <f>SUM(E7:E13)</f>
        <v/>
      </c>
    </row>
    <row r="16">
      <c r="A16" s="6" t="inlineStr">
        <is>
          <t>A calda necessaria ja inclui a perda de 3% e exclui a agua das receitas de fruta.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6" customWidth="1" min="4" max="4"/>
    <col width="15" customWidth="1" min="5" max="5"/>
    <col width="15" customWidth="1" min="6" max="6"/>
    <col width="12" customWidth="1" min="7" max="7"/>
    <col width="24" customWidth="1" min="8" max="8"/>
    <col width="14" customWidth="1" min="9" max="9"/>
    <col width="30" customWidth="1" min="10" max="10"/>
  </cols>
  <sheetData>
    <row r="1">
      <c r="A1" s="5" t="inlineStr">
        <is>
          <t>FORNECEDORES E PRECOS</t>
        </is>
      </c>
    </row>
    <row r="2">
      <c r="A2" s="6" t="inlineStr">
        <is>
          <t>O sistema nunca teve cadastro de fornecedor. Preenchi o que saiu das conversas e marquei a procedencia. As linhas vazias sao para voce.</t>
        </is>
      </c>
    </row>
    <row r="4" ht="30" customHeight="1">
      <c r="A4" s="9" t="inlineStr">
        <is>
          <t>INSUMO</t>
        </is>
      </c>
      <c r="B4" s="9" t="inlineStr">
        <is>
          <t>FORNECEDOR</t>
        </is>
      </c>
      <c r="C4" s="9" t="inlineStr">
        <is>
          <t>MARCA</t>
        </is>
      </c>
      <c r="D4" s="9" t="inlineStr">
        <is>
          <t>EMBALAGEM</t>
        </is>
      </c>
      <c r="E4" s="9" t="inlineStr">
        <is>
          <t>R$/kg ATUAL</t>
        </is>
      </c>
      <c r="F4" s="9" t="inlineStr">
        <is>
          <t>R$/kg COTADO</t>
        </is>
      </c>
      <c r="G4" s="9" t="inlineStr">
        <is>
          <t>ECONOMIA</t>
        </is>
      </c>
      <c r="H4" s="9" t="inlineStr">
        <is>
          <t>CONTATO / TELEFONE</t>
        </is>
      </c>
      <c r="I4" s="9" t="inlineStr">
        <is>
          <t>PRAZO (dias)</t>
        </is>
      </c>
      <c r="J4" s="9" t="inlineStr">
        <is>
          <t>ORIGEM DO DADO / OBS</t>
        </is>
      </c>
    </row>
    <row r="5">
      <c r="A5" s="10" t="inlineStr">
        <is>
          <t>BASE MEC PROTEIN</t>
        </is>
      </c>
      <c r="B5" s="8" t="inlineStr">
        <is>
          <t>MEC3</t>
        </is>
      </c>
      <c r="C5" s="8" t="inlineStr">
        <is>
          <t>Base MEC Protein</t>
        </is>
      </c>
      <c r="D5" s="8" t="inlineStr"/>
      <c r="E5" s="18" t="n">
        <v>148.2</v>
      </c>
      <c r="F5" s="12" t="n"/>
      <c r="G5" s="13">
        <f>IF(F5="","",E5-F5)</f>
        <v/>
      </c>
      <c r="H5" s="8" t="n"/>
      <c r="I5" s="8" t="n"/>
      <c r="J5" s="19" t="inlineStr">
        <is>
          <t>ficha</t>
        </is>
      </c>
    </row>
    <row r="6">
      <c r="A6" s="10" t="inlineStr">
        <is>
          <t>BISCOITO ALFAJOR DE CHOCOLATE (ZERO LACTOSE)</t>
        </is>
      </c>
      <c r="B6" s="20" t="inlineStr"/>
      <c r="C6" s="8" t="inlineStr"/>
      <c r="D6" s="8" t="inlineStr">
        <is>
          <t>caixa 4 un</t>
        </is>
      </c>
      <c r="E6" s="18" t="n">
        <v>38.46</v>
      </c>
      <c r="F6" s="12" t="n"/>
      <c r="G6" s="13">
        <f>IF(F6="","",E6-F6)</f>
        <v/>
      </c>
      <c r="H6" s="8" t="n"/>
      <c r="I6" s="8" t="n"/>
      <c r="J6" s="21" t="inlineStr">
        <is>
          <t>nota 8,00/4 un</t>
        </is>
      </c>
    </row>
    <row r="7">
      <c r="A7" s="10" t="inlineStr">
        <is>
          <t>CACAU 22/24</t>
        </is>
      </c>
      <c r="B7" s="20" t="inlineStr"/>
      <c r="C7" s="8" t="inlineStr"/>
      <c r="D7" s="8" t="inlineStr"/>
      <c r="E7" s="18" t="n">
        <v>130</v>
      </c>
      <c r="F7" s="12" t="n"/>
      <c r="G7" s="13">
        <f>IF(F7="","",E7-F7)</f>
        <v/>
      </c>
      <c r="H7" s="8" t="n"/>
      <c r="I7" s="8" t="n"/>
      <c r="J7" s="19" t="inlineStr"/>
    </row>
    <row r="8">
      <c r="A8" s="10" t="inlineStr">
        <is>
          <t>CREME DE LEITE FRESCO 35% ZL (VERDE CAMPO LACFREE)</t>
        </is>
      </c>
      <c r="B8" s="8" t="inlineStr">
        <is>
          <t>Verde Campo</t>
        </is>
      </c>
      <c r="C8" s="8" t="inlineStr">
        <is>
          <t>Lacfree</t>
        </is>
      </c>
      <c r="D8" s="8" t="inlineStr">
        <is>
          <t>500 g</t>
        </is>
      </c>
      <c r="E8" s="18" t="n">
        <v>57.8</v>
      </c>
      <c r="F8" s="12" t="n"/>
      <c r="G8" s="13">
        <f>IF(F8="","",E8-F8)</f>
        <v/>
      </c>
      <c r="H8" s="8" t="n"/>
      <c r="I8" s="8" t="n"/>
      <c r="J8" s="21" t="inlineStr">
        <is>
          <t>nota 28,90/500 g</t>
        </is>
      </c>
    </row>
    <row r="9">
      <c r="A9" s="10" t="inlineStr">
        <is>
          <t>CREMOBENE PREMIUM (LIGA NEUTRA)</t>
        </is>
      </c>
      <c r="B9" s="8" t="inlineStr">
        <is>
          <t>Biobene</t>
        </is>
      </c>
      <c r="C9" s="8" t="inlineStr">
        <is>
          <t>Cremobene Premium</t>
        </is>
      </c>
      <c r="D9" s="8" t="inlineStr"/>
      <c r="E9" s="18" t="n">
        <v>105.84</v>
      </c>
      <c r="F9" s="12" t="n"/>
      <c r="G9" s="13">
        <f>IF(F9="","",E9-F9)</f>
        <v/>
      </c>
      <c r="H9" s="8" t="n"/>
      <c r="I9" s="8" t="n"/>
      <c r="J9" s="19" t="inlineStr">
        <is>
          <t>conversa</t>
        </is>
      </c>
    </row>
    <row r="10">
      <c r="A10" s="10" t="inlineStr">
        <is>
          <t>DELÍCIA DE AMENDOIM PROTEICO</t>
        </is>
      </c>
      <c r="B10" s="20" t="inlineStr"/>
      <c r="C10" s="8" t="inlineStr"/>
      <c r="D10" s="8" t="inlineStr"/>
      <c r="E10" s="18" t="n">
        <v>94.25</v>
      </c>
      <c r="F10" s="12" t="n"/>
      <c r="G10" s="13">
        <f>IF(F10="","",E10-F10)</f>
        <v/>
      </c>
      <c r="H10" s="8" t="n"/>
      <c r="I10" s="8" t="n"/>
      <c r="J10" s="19" t="inlineStr">
        <is>
          <t>—</t>
        </is>
      </c>
    </row>
    <row r="11">
      <c r="A11" s="10" t="inlineStr">
        <is>
          <t>DOCE DE LEITE VIÇOSA ZERO</t>
        </is>
      </c>
      <c r="B11" s="8" t="inlineStr">
        <is>
          <t>Viçosa</t>
        </is>
      </c>
      <c r="C11" s="8" t="inlineStr">
        <is>
          <t>Viçosa Zero</t>
        </is>
      </c>
      <c r="D11" s="8" t="inlineStr">
        <is>
          <t>pote 400 g</t>
        </is>
      </c>
      <c r="E11" s="18" t="n">
        <v>99.75</v>
      </c>
      <c r="F11" s="12" t="n"/>
      <c r="G11" s="13">
        <f>IF(F11="","",E11-F11)</f>
        <v/>
      </c>
      <c r="H11" s="8" t="n"/>
      <c r="I11" s="8" t="n"/>
      <c r="J11" s="21" t="inlineStr">
        <is>
          <t>nota 39,90/400 g</t>
        </is>
      </c>
    </row>
    <row r="12">
      <c r="A12" s="10" t="inlineStr">
        <is>
          <t>ERITRITOL</t>
        </is>
      </c>
      <c r="B12" s="20" t="inlineStr"/>
      <c r="C12" s="8" t="inlineStr"/>
      <c r="D12" s="8" t="inlineStr">
        <is>
          <t>1 kg</t>
        </is>
      </c>
      <c r="E12" s="18" t="n">
        <v>53.76</v>
      </c>
      <c r="F12" s="12" t="n">
        <v>14.75</v>
      </c>
      <c r="G12" s="13">
        <f>IF(F12="","",E12-F12)</f>
        <v/>
      </c>
      <c r="H12" s="8" t="n"/>
      <c r="I12" s="8" t="n"/>
      <c r="J12" s="19" t="inlineStr">
        <is>
          <t>cotação Huakang 25 kg R$ 14,75</t>
        </is>
      </c>
    </row>
    <row r="13">
      <c r="A13" s="10" t="inlineStr">
        <is>
          <t>GLICEROL (GLICERINA BIDESTILADA)</t>
        </is>
      </c>
      <c r="B13" s="20" t="inlineStr"/>
      <c r="C13" s="8" t="inlineStr"/>
      <c r="D13" s="8" t="inlineStr"/>
      <c r="E13" s="18" t="n">
        <v>24</v>
      </c>
      <c r="F13" s="12" t="n"/>
      <c r="G13" s="13">
        <f>IF(F13="","",E13-F13)</f>
        <v/>
      </c>
      <c r="H13" s="8" t="n"/>
      <c r="I13" s="8" t="n"/>
      <c r="J13" s="19" t="inlineStr"/>
    </row>
    <row r="14">
      <c r="A14" s="10" t="inlineStr">
        <is>
          <t>GUSTO LIMONE SICILIA (PÓ)</t>
        </is>
      </c>
      <c r="B14" s="8" t="inlineStr">
        <is>
          <t>MEC3</t>
        </is>
      </c>
      <c r="C14" s="8" t="inlineStr">
        <is>
          <t>Gusto Limone Sicilia</t>
        </is>
      </c>
      <c r="D14" s="8" t="inlineStr"/>
      <c r="E14" s="18" t="n">
        <v>359.62</v>
      </c>
      <c r="F14" s="12" t="n"/>
      <c r="G14" s="13">
        <f>IF(F14="","",E14-F14)</f>
        <v/>
      </c>
      <c r="H14" s="8" t="n"/>
      <c r="I14" s="8" t="n"/>
      <c r="J14" s="19" t="inlineStr">
        <is>
          <t>ficha</t>
        </is>
      </c>
    </row>
    <row r="15">
      <c r="A15" s="10" t="inlineStr">
        <is>
          <t>INULINA</t>
        </is>
      </c>
      <c r="B15" s="20" t="inlineStr"/>
      <c r="C15" s="8" t="inlineStr"/>
      <c r="D15" s="8" t="inlineStr"/>
      <c r="E15" s="18" t="n">
        <v>90</v>
      </c>
      <c r="F15" s="12" t="n"/>
      <c r="G15" s="13">
        <f>IF(F15="","",E15-F15)</f>
        <v/>
      </c>
      <c r="H15" s="8" t="n"/>
      <c r="I15" s="8" t="n"/>
      <c r="J15" s="19" t="inlineStr"/>
    </row>
    <row r="16">
      <c r="A16" s="10" t="inlineStr">
        <is>
          <t>LEITE EM PO DESNATADO ZL (BATAVO PENSE ZERO)</t>
        </is>
      </c>
      <c r="B16" s="8" t="inlineStr">
        <is>
          <t>Batavo</t>
        </is>
      </c>
      <c r="C16" s="8" t="inlineStr">
        <is>
          <t>Pense Zero</t>
        </is>
      </c>
      <c r="D16" s="8" t="inlineStr"/>
      <c r="E16" s="18" t="n">
        <v>65.7</v>
      </c>
      <c r="F16" s="12" t="n"/>
      <c r="G16" s="13">
        <f>IF(F16="","",E16-F16)</f>
        <v/>
      </c>
      <c r="H16" s="8" t="n"/>
      <c r="I16" s="8" t="n"/>
      <c r="J16" s="19" t="inlineStr">
        <is>
          <t>conversa</t>
        </is>
      </c>
    </row>
    <row r="17">
      <c r="A17" s="10" t="inlineStr">
        <is>
          <t>LEITE ZERO LACTOSE (INTEGRAL)</t>
        </is>
      </c>
      <c r="B17" s="8" t="inlineStr">
        <is>
          <t>Leitíssimo</t>
        </is>
      </c>
      <c r="C17" s="8" t="inlineStr"/>
      <c r="D17" s="8" t="inlineStr"/>
      <c r="E17" s="18" t="n">
        <v>9.800000000000001</v>
      </c>
      <c r="F17" s="12" t="n"/>
      <c r="G17" s="13">
        <f>IF(F17="","",E17-F17)</f>
        <v/>
      </c>
      <c r="H17" s="8" t="n"/>
      <c r="I17" s="8" t="n"/>
      <c r="J17" s="19" t="inlineStr">
        <is>
          <t>conversa</t>
        </is>
      </c>
    </row>
    <row r="18">
      <c r="A18" s="10" t="inlineStr">
        <is>
          <t>MALTITOL</t>
        </is>
      </c>
      <c r="B18" s="20" t="inlineStr"/>
      <c r="C18" s="8" t="inlineStr"/>
      <c r="D18" s="8" t="inlineStr"/>
      <c r="E18" s="18" t="n">
        <v>37.78</v>
      </c>
      <c r="F18" s="12" t="n">
        <v>17.95</v>
      </c>
      <c r="G18" s="13">
        <f>IF(F18="","",E18-F18)</f>
        <v/>
      </c>
      <c r="H18" s="8" t="n"/>
      <c r="I18" s="8" t="n"/>
      <c r="J18" s="19" t="inlineStr">
        <is>
          <t>cotação Yusweet 25 kg R$ 17,95</t>
        </is>
      </c>
    </row>
    <row r="19">
      <c r="A19" s="10" t="inlineStr">
        <is>
          <t>MANGA</t>
        </is>
      </c>
      <c r="B19" s="20" t="inlineStr"/>
      <c r="C19" s="8" t="inlineStr"/>
      <c r="D19" s="8" t="inlineStr"/>
      <c r="E19" s="18" t="n">
        <v>22</v>
      </c>
      <c r="F19" s="12" t="n"/>
      <c r="G19" s="13">
        <f>IF(F19="","",E19-F19)</f>
        <v/>
      </c>
      <c r="H19" s="8" t="n"/>
      <c r="I19" s="8" t="n"/>
      <c r="J19" s="19" t="inlineStr"/>
    </row>
    <row r="20">
      <c r="A20" s="10" t="inlineStr">
        <is>
          <t>MARACUJA (POLPA)</t>
        </is>
      </c>
      <c r="B20" s="20" t="inlineStr"/>
      <c r="C20" s="8" t="inlineStr"/>
      <c r="D20" s="8" t="inlineStr"/>
      <c r="E20" s="18" t="n">
        <v>30</v>
      </c>
      <c r="F20" s="12" t="n"/>
      <c r="G20" s="13">
        <f>IF(F20="","",E20-F20)</f>
        <v/>
      </c>
      <c r="H20" s="8" t="n"/>
      <c r="I20" s="8" t="n"/>
      <c r="J20" s="19" t="inlineStr"/>
    </row>
    <row r="21">
      <c r="A21" s="10" t="inlineStr">
        <is>
          <t>MORANGO</t>
        </is>
      </c>
      <c r="B21" s="20" t="inlineStr"/>
      <c r="C21" s="8" t="inlineStr"/>
      <c r="D21" s="8" t="inlineStr"/>
      <c r="E21" s="18" t="n">
        <v>11.29</v>
      </c>
      <c r="F21" s="12" t="n"/>
      <c r="G21" s="13">
        <f>IF(F21="","",E21-F21)</f>
        <v/>
      </c>
      <c r="H21" s="8" t="n"/>
      <c r="I21" s="8" t="n"/>
      <c r="J21" s="19" t="inlineStr"/>
    </row>
    <row r="22">
      <c r="A22" s="10" t="inlineStr">
        <is>
          <t>PASTA CAFÉ SELECTA (BALDE 2 KG)</t>
        </is>
      </c>
      <c r="B22" s="20" t="inlineStr"/>
      <c r="C22" s="8" t="inlineStr">
        <is>
          <t>Selecta</t>
        </is>
      </c>
      <c r="D22" s="8" t="inlineStr">
        <is>
          <t>balde 2 kg</t>
        </is>
      </c>
      <c r="E22" s="18" t="n">
        <v>90</v>
      </c>
      <c r="F22" s="12" t="n"/>
      <c r="G22" s="13">
        <f>IF(F22="","",E22-F22)</f>
        <v/>
      </c>
      <c r="H22" s="8" t="n"/>
      <c r="I22" s="8" t="n"/>
      <c r="J22" s="19" t="inlineStr">
        <is>
          <t>conversa</t>
        </is>
      </c>
    </row>
    <row r="23">
      <c r="A23" s="10" t="inlineStr">
        <is>
          <t>PASTA FRAGOLA MEC3 (18047)</t>
        </is>
      </c>
      <c r="B23" s="8" t="inlineStr">
        <is>
          <t>MEC3</t>
        </is>
      </c>
      <c r="C23" s="8" t="inlineStr">
        <is>
          <t>MEC3 18047</t>
        </is>
      </c>
      <c r="D23" s="8" t="inlineStr"/>
      <c r="E23" s="18" t="n">
        <v>142.27</v>
      </c>
      <c r="F23" s="12" t="n"/>
      <c r="G23" s="13">
        <f>IF(F23="","",E23-F23)</f>
        <v/>
      </c>
      <c r="H23" s="8" t="n"/>
      <c r="I23" s="8" t="n"/>
      <c r="J23" s="19" t="inlineStr">
        <is>
          <t>ficha</t>
        </is>
      </c>
    </row>
    <row r="24">
      <c r="A24" s="10" t="inlineStr">
        <is>
          <t>PASTA PISTACCHIO 100% CALIFÓRNIA</t>
        </is>
      </c>
      <c r="B24" s="20" t="inlineStr"/>
      <c r="C24" s="8" t="inlineStr"/>
      <c r="D24" s="8" t="inlineStr"/>
      <c r="E24" s="18" t="n">
        <v>450</v>
      </c>
      <c r="F24" s="12" t="n"/>
      <c r="G24" s="13">
        <f>IF(F24="","",E24-F24)</f>
        <v/>
      </c>
      <c r="H24" s="8" t="n"/>
      <c r="I24" s="8" t="n"/>
      <c r="J24" s="19" t="inlineStr">
        <is>
          <t>—</t>
        </is>
      </c>
    </row>
    <row r="25">
      <c r="A25" s="10" t="inlineStr">
        <is>
          <t>POLIDEXTROSE</t>
        </is>
      </c>
      <c r="B25" s="20" t="inlineStr"/>
      <c r="C25" s="8" t="inlineStr"/>
      <c r="D25" s="8" t="inlineStr">
        <is>
          <t>10 kg</t>
        </is>
      </c>
      <c r="E25" s="18" t="n">
        <v>28.92</v>
      </c>
      <c r="F25" s="12" t="n">
        <v>12.85</v>
      </c>
      <c r="G25" s="13">
        <f>IF(F25="","",E25-F25)</f>
        <v/>
      </c>
      <c r="H25" s="8" t="n"/>
      <c r="I25" s="8" t="n"/>
      <c r="J25" s="19" t="inlineStr">
        <is>
          <t>cotação Bailong 25 kg R$ 12,85</t>
        </is>
      </c>
    </row>
    <row r="26">
      <c r="A26" s="10" t="inlineStr">
        <is>
          <t>SAL</t>
        </is>
      </c>
      <c r="B26" s="20" t="inlineStr"/>
      <c r="C26" s="8" t="inlineStr"/>
      <c r="D26" s="8" t="inlineStr"/>
      <c r="E26" s="18" t="n">
        <v>3</v>
      </c>
      <c r="F26" s="12" t="n"/>
      <c r="G26" s="13">
        <f>IF(F26="","",E26-F26)</f>
        <v/>
      </c>
      <c r="H26" s="8" t="n"/>
      <c r="I26" s="8" t="n"/>
      <c r="J26" s="19" t="inlineStr"/>
    </row>
    <row r="27">
      <c r="A27" s="10" t="inlineStr">
        <is>
          <t>STEVIA</t>
        </is>
      </c>
      <c r="B27" s="20" t="inlineStr"/>
      <c r="C27" s="8" t="inlineStr"/>
      <c r="D27" s="8" t="inlineStr"/>
      <c r="E27" s="18" t="n">
        <v>3100</v>
      </c>
      <c r="F27" s="12" t="n"/>
      <c r="G27" s="13">
        <f>IF(F27="","",E27-F27)</f>
        <v/>
      </c>
      <c r="H27" s="8" t="n"/>
      <c r="I27" s="8" t="n"/>
      <c r="J27" s="19" t="inlineStr"/>
    </row>
    <row r="29">
      <c r="A29" s="22" t="inlineStr">
        <is>
          <t>COTACAO DE 21/10/2026 — AINDA NAO COMPRADA</t>
        </is>
      </c>
    </row>
    <row r="30">
      <c r="A30" s="23" t="inlineStr">
        <is>
          <t>Eritritol — Huakang — saco 25 kg — R$ 14,75/kg — ICMS 12% incluso</t>
        </is>
      </c>
    </row>
    <row r="31">
      <c r="A31" s="23" t="inlineStr">
        <is>
          <t>Maltitol — Yusweet — saco 25 kg — R$ 17,95/kg — ICMS 4% incluso</t>
        </is>
      </c>
    </row>
    <row r="32">
      <c r="A32" s="23" t="inlineStr">
        <is>
          <t>Polidextrose — Shandong Bailong — saco 25 kg — R$ 12,85/kg — ICMS 12% incluso</t>
        </is>
      </c>
    </row>
    <row r="33">
      <c r="A33" s="23" t="inlineStr"/>
    </row>
    <row r="34">
      <c r="A34" s="23" t="inlineStr">
        <is>
          <t>Com os tres, o Mix Oficial cai de R$ 49,13 para R$ 29,83/kg e o CMV medio cai cerca de R$ 0,35 por pote.</t>
        </is>
      </c>
    </row>
    <row r="35">
      <c r="A35" s="23" t="inlineStr">
        <is>
          <t>Pendente antes de fechar: ficha tecnica dos tres, granulometria do eritritol e data de fabricacao / validade.</t>
        </is>
      </c>
    </row>
    <row r="36">
      <c r="A36" s="23" t="inlineStr">
        <is>
          <t>A polidextrose e o limitante: 25 kg dao cerca de 2.380 potes, contra 7.300 do maltitol e 9.160 do eritritol.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5" customWidth="1" min="6" max="6"/>
    <col width="17" customWidth="1" min="7" max="7"/>
    <col width="30" customWidth="1" min="8" max="8"/>
  </cols>
  <sheetData>
    <row r="1">
      <c r="A1" s="5" t="inlineStr">
        <is>
          <t>ESTOQUE ATUAL x NECESSARIO</t>
        </is>
      </c>
    </row>
    <row r="2">
      <c r="A2" s="6" t="inlineStr">
        <is>
          <t>O necessario vem da aba PLANO. Atualize a coluna ATUAL depois de cada contagem.</t>
        </is>
      </c>
    </row>
    <row r="4" ht="30" customHeight="1">
      <c r="A4" s="9" t="inlineStr">
        <is>
          <t>INSUMO</t>
        </is>
      </c>
      <c r="B4" s="9" t="inlineStr">
        <is>
          <t>ESTOQUE
ATUAL (g)</t>
        </is>
      </c>
      <c r="C4" s="9" t="inlineStr">
        <is>
          <t>NECESSARIO
PLANO (g)</t>
        </is>
      </c>
      <c r="D4" s="9" t="inlineStr">
        <is>
          <t>SALDO
(g)</t>
        </is>
      </c>
      <c r="E4" s="9" t="inlineStr">
        <is>
          <t>COMPRAR
(kg)</t>
        </is>
      </c>
      <c r="F4" s="9" t="inlineStr">
        <is>
          <t>R$/kg</t>
        </is>
      </c>
      <c r="G4" s="9" t="inlineStr">
        <is>
          <t>CUSTO DA
COMPRA (R$)</t>
        </is>
      </c>
      <c r="H4" s="9" t="inlineStr">
        <is>
          <t>SITUACAO</t>
        </is>
      </c>
    </row>
    <row r="5">
      <c r="A5" s="10" t="inlineStr">
        <is>
          <t>BASE MEC PROTEIN</t>
        </is>
      </c>
      <c r="B5" s="24" t="n">
        <v>11500</v>
      </c>
      <c r="C5" s="25">
        <f>PLANO!B7*15.9216+PLANO!B13*18.0412</f>
        <v/>
      </c>
      <c r="D5" s="25">
        <f>B5-C5</f>
        <v/>
      </c>
      <c r="E5" s="26">
        <f>IF(D5&gt;=0,0,ROUNDUP(-D5/1000,3))</f>
        <v/>
      </c>
      <c r="F5" s="13">
        <f>FORNECEDORES!E5</f>
        <v/>
      </c>
      <c r="G5" s="13">
        <f>E5*F5</f>
        <v/>
      </c>
      <c r="H5" s="27">
        <f>IF(B5=0,"SEM ESTOQUE",IF(D5&lt;0,"FALTA","ok"))</f>
        <v/>
      </c>
    </row>
    <row r="6">
      <c r="A6" s="10" t="inlineStr">
        <is>
          <t>BISCOITO ALFAJOR DE CHOCOLATE (ZERO LACTOSE)</t>
        </is>
      </c>
      <c r="B6" s="24" t="n">
        <v>0</v>
      </c>
      <c r="C6" s="25">
        <f>PLANO!B12*15.4485</f>
        <v/>
      </c>
      <c r="D6" s="25">
        <f>B6-C6</f>
        <v/>
      </c>
      <c r="E6" s="26">
        <f>IF(D6&gt;=0,0,ROUNDUP(-D6/1000,3))</f>
        <v/>
      </c>
      <c r="F6" s="13">
        <f>FORNECEDORES!E6</f>
        <v/>
      </c>
      <c r="G6" s="13">
        <f>E6*F6</f>
        <v/>
      </c>
      <c r="H6" s="27">
        <f>IF(B6=0,"SEM ESTOQUE",IF(D6&lt;0,"FALTA","ok"))</f>
        <v/>
      </c>
    </row>
    <row r="7">
      <c r="A7" s="10" t="inlineStr">
        <is>
          <t>CACAU 22/24</t>
        </is>
      </c>
      <c r="B7" s="24" t="n">
        <v>0</v>
      </c>
      <c r="C7" s="25">
        <f>PLANO!B13*5.5567</f>
        <v/>
      </c>
      <c r="D7" s="25">
        <f>B7-C7</f>
        <v/>
      </c>
      <c r="E7" s="26">
        <f>IF(D7&gt;=0,0,ROUNDUP(-D7/1000,3))</f>
        <v/>
      </c>
      <c r="F7" s="13">
        <f>FORNECEDORES!E7</f>
        <v/>
      </c>
      <c r="G7" s="13">
        <f>E7*F7</f>
        <v/>
      </c>
      <c r="H7" s="27">
        <f>IF(B7=0,"SEM ESTOQUE",IF(D7&lt;0,"FALTA","ok"))</f>
        <v/>
      </c>
    </row>
    <row r="8">
      <c r="A8" s="10" t="inlineStr">
        <is>
          <t>CREME DE LEITE FRESCO 35% ZL (VERDE CAMPO LACFREE)</t>
        </is>
      </c>
      <c r="B8" s="24" t="n">
        <v>1500</v>
      </c>
      <c r="C8" s="25">
        <f>PLANO!B8*8.9485+PLANO!B11*14.7216+PLANO!B12*8.3505</f>
        <v/>
      </c>
      <c r="D8" s="25">
        <f>B8-C8</f>
        <v/>
      </c>
      <c r="E8" s="26">
        <f>IF(D8&gt;=0,0,ROUNDUP(-D8/1000,3))</f>
        <v/>
      </c>
      <c r="F8" s="13">
        <f>FORNECEDORES!E8</f>
        <v/>
      </c>
      <c r="G8" s="13">
        <f>E8*F8</f>
        <v/>
      </c>
      <c r="H8" s="27">
        <f>IF(B8=0,"SEM ESTOQUE",IF(D8&lt;0,"FALTA","ok"))</f>
        <v/>
      </c>
    </row>
    <row r="9">
      <c r="A9" s="10" t="inlineStr">
        <is>
          <t>CREMOBENE PREMIUM (LIGA NEUTRA)</t>
        </is>
      </c>
      <c r="B9" s="24" t="n">
        <v>1989.8</v>
      </c>
      <c r="C9" s="25">
        <f>PLANO!B7*0.3754+PLANO!B8*0.7505+PLANO!B9*0.4330+PLANO!B10*0.3711+PLANO!B11*0.8660+PLANO!B12*0.8351+PLANO!B13*0.4330</f>
        <v/>
      </c>
      <c r="D9" s="25">
        <f>B9-C9</f>
        <v/>
      </c>
      <c r="E9" s="26">
        <f>IF(D9&gt;=0,0,ROUNDUP(-D9/1000,3))</f>
        <v/>
      </c>
      <c r="F9" s="13">
        <f>FORNECEDORES!E9</f>
        <v/>
      </c>
      <c r="G9" s="13">
        <f>E9*F9</f>
        <v/>
      </c>
      <c r="H9" s="27">
        <f>IF(B9=0,"SEM ESTOQUE",IF(D9&lt;0,"FALTA","ok"))</f>
        <v/>
      </c>
    </row>
    <row r="10">
      <c r="A10" s="10" t="inlineStr">
        <is>
          <t>DELÍCIA DE AMENDOIM PROTEICO</t>
        </is>
      </c>
      <c r="B10" s="24" t="n">
        <v>1627</v>
      </c>
      <c r="C10" s="25">
        <f>PLANO!B7*14.8860</f>
        <v/>
      </c>
      <c r="D10" s="25">
        <f>B10-C10</f>
        <v/>
      </c>
      <c r="E10" s="26">
        <f>IF(D10&gt;=0,0,ROUNDUP(-D10/1000,3))</f>
        <v/>
      </c>
      <c r="F10" s="13">
        <f>FORNECEDORES!E10</f>
        <v/>
      </c>
      <c r="G10" s="13">
        <f>E10*F10</f>
        <v/>
      </c>
      <c r="H10" s="27">
        <f>IF(B10=0,"SEM ESTOQUE",IF(D10&lt;0,"FALTA","ok"))</f>
        <v/>
      </c>
    </row>
    <row r="11">
      <c r="A11" s="10" t="inlineStr">
        <is>
          <t>DOCE DE LEITE VIÇOSA ZERO</t>
        </is>
      </c>
      <c r="B11" s="24" t="n">
        <v>0</v>
      </c>
      <c r="C11" s="25">
        <f>PLANO!B12*22.2680</f>
        <v/>
      </c>
      <c r="D11" s="25">
        <f>B11-C11</f>
        <v/>
      </c>
      <c r="E11" s="26">
        <f>IF(D11&gt;=0,0,ROUNDUP(-D11/1000,3))</f>
        <v/>
      </c>
      <c r="F11" s="13">
        <f>FORNECEDORES!E11</f>
        <v/>
      </c>
      <c r="G11" s="13">
        <f>E11*F11</f>
        <v/>
      </c>
      <c r="H11" s="27">
        <f>IF(B11=0,"SEM ESTOQUE",IF(D11&lt;0,"FALTA","ok"))</f>
        <v/>
      </c>
    </row>
    <row r="12">
      <c r="A12" s="10" t="inlineStr">
        <is>
          <t>ERITRITOL</t>
        </is>
      </c>
      <c r="B12" s="24" t="n">
        <v>5000</v>
      </c>
      <c r="C12" s="25">
        <f>PLANO!B8*5.7125+PLANO!B9*2.8259+PLANO!B10*6.4983+PLANO!B11*3.5324</f>
        <v/>
      </c>
      <c r="D12" s="25">
        <f>B12-C12</f>
        <v/>
      </c>
      <c r="E12" s="26">
        <f>IF(D12&gt;=0,0,ROUNDUP(-D12/1000,3))</f>
        <v/>
      </c>
      <c r="F12" s="13">
        <f>FORNECEDORES!E12</f>
        <v/>
      </c>
      <c r="G12" s="13">
        <f>E12*F12</f>
        <v/>
      </c>
      <c r="H12" s="27">
        <f>IF(B12=0,"SEM ESTOQUE",IF(D12&lt;0,"FALTA","ok"))</f>
        <v/>
      </c>
    </row>
    <row r="13">
      <c r="A13" s="10" t="inlineStr">
        <is>
          <t>GLICEROL (GLICERINA BIDESTILADA)</t>
        </is>
      </c>
      <c r="B13" s="24" t="n">
        <v>900</v>
      </c>
      <c r="C13" s="25">
        <f>PLANO!B7*3.6762+PLANO!B8*2.1649+PLANO!B9*2.1649+PLANO!B10*1.8557+PLANO!B11*2.1649+PLANO!B12*2.0876+PLANO!B13*4.1711</f>
        <v/>
      </c>
      <c r="D13" s="25">
        <f>B13-C13</f>
        <v/>
      </c>
      <c r="E13" s="26">
        <f>IF(D13&gt;=0,0,ROUNDUP(-D13/1000,3))</f>
        <v/>
      </c>
      <c r="F13" s="13">
        <f>FORNECEDORES!E13</f>
        <v/>
      </c>
      <c r="G13" s="13">
        <f>E13*F13</f>
        <v/>
      </c>
      <c r="H13" s="27">
        <f>IF(B13=0,"SEM ESTOQUE",IF(D13&lt;0,"FALTA","ok"))</f>
        <v/>
      </c>
    </row>
    <row r="14">
      <c r="A14" s="10" t="inlineStr">
        <is>
          <t>GUSTO LIMONE SICILIA (PÓ)</t>
        </is>
      </c>
      <c r="B14" s="24" t="n">
        <v>1917.7</v>
      </c>
      <c r="C14" s="25">
        <f>PLANO!B11*8.6598</f>
        <v/>
      </c>
      <c r="D14" s="25">
        <f>B14-C14</f>
        <v/>
      </c>
      <c r="E14" s="26">
        <f>IF(D14&gt;=0,0,ROUNDUP(-D14/1000,3))</f>
        <v/>
      </c>
      <c r="F14" s="13">
        <f>FORNECEDORES!E14</f>
        <v/>
      </c>
      <c r="G14" s="13">
        <f>E14*F14</f>
        <v/>
      </c>
      <c r="H14" s="27">
        <f>IF(B14=0,"SEM ESTOQUE",IF(D14&lt;0,"FALTA","ok"))</f>
        <v/>
      </c>
    </row>
    <row r="15">
      <c r="A15" s="10" t="inlineStr">
        <is>
          <t>INULINA</t>
        </is>
      </c>
      <c r="B15" s="24" t="n">
        <v>600</v>
      </c>
      <c r="C15" s="25">
        <f>PLANO!B8*1.4043+PLANO!B9*1.4043+PLANO!B10*2.3070+PLANO!B11*1.7554</f>
        <v/>
      </c>
      <c r="D15" s="25">
        <f>B15-C15</f>
        <v/>
      </c>
      <c r="E15" s="26">
        <f>IF(D15&gt;=0,0,ROUNDUP(-D15/1000,3))</f>
        <v/>
      </c>
      <c r="F15" s="13">
        <f>FORNECEDORES!E15</f>
        <v/>
      </c>
      <c r="G15" s="13">
        <f>E15*F15</f>
        <v/>
      </c>
      <c r="H15" s="27">
        <f>IF(B15=0,"SEM ESTOQUE",IF(D15&lt;0,"FALTA","ok"))</f>
        <v/>
      </c>
    </row>
    <row r="16">
      <c r="A16" s="10" t="inlineStr">
        <is>
          <t>LEITE EM PO DESNATADO ZL (BATAVO PENSE ZERO)</t>
        </is>
      </c>
      <c r="B16" s="24" t="n">
        <v>0</v>
      </c>
      <c r="C16" s="25">
        <f>PLANO!B7*14.6919+PLANO!B8*4.7629+PLANO!B11*4.7629+PLANO!B12*6.9588+PLANO!B13*16.6557</f>
        <v/>
      </c>
      <c r="D16" s="25">
        <f>B16-C16</f>
        <v/>
      </c>
      <c r="E16" s="26">
        <f>IF(D16&gt;=0,0,ROUNDUP(-D16/1000,3))</f>
        <v/>
      </c>
      <c r="F16" s="13">
        <f>FORNECEDORES!E16</f>
        <v/>
      </c>
      <c r="G16" s="13">
        <f>E16*F16</f>
        <v/>
      </c>
      <c r="H16" s="27">
        <f>IF(B16=0,"SEM ESTOQUE",IF(D16&lt;0,"FALTA","ok"))</f>
        <v/>
      </c>
    </row>
    <row r="17">
      <c r="A17" s="10" t="inlineStr">
        <is>
          <t>LEITE ZERO LACTOSE (INTEGRAL)</t>
        </is>
      </c>
      <c r="B17" s="24" t="n">
        <v>6000</v>
      </c>
      <c r="C17" s="25">
        <f>PLANO!B7*84.7857+PLANO!B8*94.5072+PLANO!B11*88.6186+PLANO!B12*84.5768+PLANO!B13*96.4845</f>
        <v/>
      </c>
      <c r="D17" s="25">
        <f>B17-C17</f>
        <v/>
      </c>
      <c r="E17" s="26">
        <f>IF(D17&gt;=0,0,ROUNDUP(-D17/1000,3))</f>
        <v/>
      </c>
      <c r="F17" s="13">
        <f>FORNECEDORES!E17</f>
        <v/>
      </c>
      <c r="G17" s="13">
        <f>E17*F17</f>
        <v/>
      </c>
      <c r="H17" s="27">
        <f>IF(B17=0,"SEM ESTOQUE",IF(D17&lt;0,"FALTA","ok"))</f>
        <v/>
      </c>
    </row>
    <row r="18">
      <c r="A18" s="10" t="inlineStr">
        <is>
          <t>MALTITOL</t>
        </is>
      </c>
      <c r="B18" s="24" t="n">
        <v>0</v>
      </c>
      <c r="C18" s="25">
        <f>PLANO!B8*3.8835+PLANO!B9*3.8835+PLANO!B10*6.3800+PLANO!B11*4.8543+PLANO!B12*4.1753</f>
        <v/>
      </c>
      <c r="D18" s="25">
        <f>B18-C18</f>
        <v/>
      </c>
      <c r="E18" s="26">
        <f>IF(D18&gt;=0,0,ROUNDUP(-D18/1000,3))</f>
        <v/>
      </c>
      <c r="F18" s="13">
        <f>FORNECEDORES!E18</f>
        <v/>
      </c>
      <c r="G18" s="13">
        <f>E18*F18</f>
        <v/>
      </c>
      <c r="H18" s="27">
        <f>IF(B18=0,"SEM ESTOQUE",IF(D18&lt;0,"FALTA","ok"))</f>
        <v/>
      </c>
    </row>
    <row r="19">
      <c r="A19" s="10" t="inlineStr">
        <is>
          <t>MANGA</t>
        </is>
      </c>
      <c r="B19" s="24" t="n">
        <v>0</v>
      </c>
      <c r="C19" s="25">
        <f>PLANO!B9*69.1340</f>
        <v/>
      </c>
      <c r="D19" s="25">
        <f>B19-C19</f>
        <v/>
      </c>
      <c r="E19" s="26">
        <f>IF(D19&gt;=0,0,ROUNDUP(-D19/1000,3))</f>
        <v/>
      </c>
      <c r="F19" s="13">
        <f>FORNECEDORES!E19</f>
        <v/>
      </c>
      <c r="G19" s="13">
        <f>E19*F19</f>
        <v/>
      </c>
      <c r="H19" s="27">
        <f>IF(B19=0,"SEM ESTOQUE",IF(D19&lt;0,"FALTA","ok"))</f>
        <v/>
      </c>
    </row>
    <row r="20">
      <c r="A20" s="10" t="inlineStr">
        <is>
          <t>MARACUJA (POLPA)</t>
        </is>
      </c>
      <c r="B20" s="24" t="n">
        <v>0</v>
      </c>
      <c r="C20" s="25">
        <f>PLANO!B9*33.9175</f>
        <v/>
      </c>
      <c r="D20" s="25">
        <f>B20-C20</f>
        <v/>
      </c>
      <c r="E20" s="26">
        <f>IF(D20&gt;=0,0,ROUNDUP(-D20/1000,3))</f>
        <v/>
      </c>
      <c r="F20" s="13">
        <f>FORNECEDORES!E20</f>
        <v/>
      </c>
      <c r="G20" s="13">
        <f>E20*F20</f>
        <v/>
      </c>
      <c r="H20" s="27">
        <f>IF(B20=0,"SEM ESTOQUE",IF(D20&lt;0,"FALTA","ok"))</f>
        <v/>
      </c>
    </row>
    <row r="21">
      <c r="A21" s="10" t="inlineStr">
        <is>
          <t>MORANGO</t>
        </is>
      </c>
      <c r="B21" s="24" t="n">
        <v>0</v>
      </c>
      <c r="C21" s="25">
        <f>PLANO!B10*77.8144</f>
        <v/>
      </c>
      <c r="D21" s="25">
        <f>B21-C21</f>
        <v/>
      </c>
      <c r="E21" s="26">
        <f>IF(D21&gt;=0,0,ROUNDUP(-D21/1000,3))</f>
        <v/>
      </c>
      <c r="F21" s="13">
        <f>FORNECEDORES!E21</f>
        <v/>
      </c>
      <c r="G21" s="13">
        <f>E21*F21</f>
        <v/>
      </c>
      <c r="H21" s="27">
        <f>IF(B21=0,"SEM ESTOQUE",IF(D21&lt;0,"FALTA","ok"))</f>
        <v/>
      </c>
    </row>
    <row r="22">
      <c r="A22" s="10" t="inlineStr">
        <is>
          <t>PASTA CAFÉ SELECTA (BALDE 2 KG)</t>
        </is>
      </c>
      <c r="B22" s="24" t="n">
        <v>0</v>
      </c>
      <c r="C22" s="25">
        <f>PLANO!B7*7.3524</f>
        <v/>
      </c>
      <c r="D22" s="25">
        <f>B22-C22</f>
        <v/>
      </c>
      <c r="E22" s="26">
        <f>IF(D22&gt;=0,0,ROUNDUP(-D22/1000,3))</f>
        <v/>
      </c>
      <c r="F22" s="13">
        <f>FORNECEDORES!E22</f>
        <v/>
      </c>
      <c r="G22" s="13">
        <f>E22*F22</f>
        <v/>
      </c>
      <c r="H22" s="27">
        <f>IF(B22=0,"SEM ESTOQUE",IF(D22&lt;0,"FALTA","ok"))</f>
        <v/>
      </c>
    </row>
    <row r="23">
      <c r="A23" s="10" t="inlineStr">
        <is>
          <t>PASTA FRAGOLA MEC3 (18047)</t>
        </is>
      </c>
      <c r="B23" s="24" t="n">
        <v>2962</v>
      </c>
      <c r="C23" s="25">
        <f>PLANO!B10*1.2371</f>
        <v/>
      </c>
      <c r="D23" s="25">
        <f>B23-C23</f>
        <v/>
      </c>
      <c r="E23" s="26">
        <f>IF(D23&gt;=0,0,ROUNDUP(-D23/1000,3))</f>
        <v/>
      </c>
      <c r="F23" s="13">
        <f>FORNECEDORES!E23</f>
        <v/>
      </c>
      <c r="G23" s="13">
        <f>E23*F23</f>
        <v/>
      </c>
      <c r="H23" s="27">
        <f>IF(B23=0,"SEM ESTOQUE",IF(D23&lt;0,"FALTA","ok"))</f>
        <v/>
      </c>
    </row>
    <row r="24">
      <c r="A24" s="10" t="inlineStr">
        <is>
          <t>PASTA PISTACCHIO 100% CALIFÓRNIA</t>
        </is>
      </c>
      <c r="B24" s="24" t="n">
        <v>2280</v>
      </c>
      <c r="C24" s="25">
        <f>PLANO!B8*12.9897</f>
        <v/>
      </c>
      <c r="D24" s="25">
        <f>B24-C24</f>
        <v/>
      </c>
      <c r="E24" s="26">
        <f>IF(D24&gt;=0,0,ROUNDUP(-D24/1000,3))</f>
        <v/>
      </c>
      <c r="F24" s="13">
        <f>FORNECEDORES!E24</f>
        <v/>
      </c>
      <c r="G24" s="13">
        <f>E24*F24</f>
        <v/>
      </c>
      <c r="H24" s="27">
        <f>IF(B24=0,"SEM ESTOQUE",IF(D24&lt;0,"FALTA","ok"))</f>
        <v/>
      </c>
    </row>
    <row r="25">
      <c r="A25" s="10" t="inlineStr">
        <is>
          <t>POLIDEXTROSE</t>
        </is>
      </c>
      <c r="B25" s="24" t="n">
        <v>11000</v>
      </c>
      <c r="C25" s="25">
        <f>PLANO!B7*2.4465+PLANO!B8*9.1539+PLANO!B9*19.2570+PLANO!B10*15.0385+PLANO!B11*14.3290+PLANO!B12*9.7423+PLANO!B13*2.7711</f>
        <v/>
      </c>
      <c r="D25" s="25">
        <f>B25-C25</f>
        <v/>
      </c>
      <c r="E25" s="26">
        <f>IF(D25&gt;=0,0,ROUNDUP(-D25/1000,3))</f>
        <v/>
      </c>
      <c r="F25" s="13">
        <f>FORNECEDORES!E25</f>
        <v/>
      </c>
      <c r="G25" s="13">
        <f>E25*F25</f>
        <v/>
      </c>
      <c r="H25" s="27">
        <f>IF(B25=0,"SEM ESTOQUE",IF(D25&lt;0,"FALTA","ok"))</f>
        <v/>
      </c>
    </row>
    <row r="26">
      <c r="A26" s="10" t="inlineStr">
        <is>
          <t>SAL</t>
        </is>
      </c>
      <c r="B26" s="24" t="n">
        <v>0</v>
      </c>
      <c r="C26" s="25">
        <f>PLANO!B7*0.1165+PLANO!B12*0.1392+PLANO!B13*0.1443</f>
        <v/>
      </c>
      <c r="D26" s="25">
        <f>B26-C26</f>
        <v/>
      </c>
      <c r="E26" s="26">
        <f>IF(D26&gt;=0,0,ROUNDUP(-D26/1000,3))</f>
        <v/>
      </c>
      <c r="F26" s="13">
        <f>FORNECEDORES!E26</f>
        <v/>
      </c>
      <c r="G26" s="13">
        <f>E26*F26</f>
        <v/>
      </c>
      <c r="H26" s="27">
        <f>IF(B26=0,"SEM ESTOQUE",IF(D26&lt;0,"FALTA","ok"))</f>
        <v/>
      </c>
    </row>
    <row r="27">
      <c r="A27" s="10" t="inlineStr">
        <is>
          <t>STEVIA</t>
        </is>
      </c>
      <c r="B27" s="24" t="n">
        <v>0</v>
      </c>
      <c r="C27" s="25">
        <f>PLANO!B7*0.0777+PLANO!B8*0.0520+PLANO!B9*0.0520+PLANO!B10*0.0854+PLANO!B11*0.0650+PLANO!B12*0.0418+PLANO!B13*0.0866</f>
        <v/>
      </c>
      <c r="D27" s="25">
        <f>B27-C27</f>
        <v/>
      </c>
      <c r="E27" s="26">
        <f>IF(D27&gt;=0,0,ROUNDUP(-D27/1000,3))</f>
        <v/>
      </c>
      <c r="F27" s="13">
        <f>FORNECEDORES!E27</f>
        <v/>
      </c>
      <c r="G27" s="13">
        <f>E27*F27</f>
        <v/>
      </c>
      <c r="H27" s="27">
        <f>IF(B27=0,"SEM ESTOQUE",IF(D27&lt;0,"FALTA","ok"))</f>
        <v/>
      </c>
    </row>
    <row r="28">
      <c r="A28" s="14" t="inlineStr">
        <is>
          <t>TOTAL A COMPRAR</t>
        </is>
      </c>
      <c r="G28" s="17">
        <f>SUM(G5:G27)</f>
        <v/>
      </c>
    </row>
    <row r="30">
      <c r="A30" s="6" t="inlineStr">
        <is>
          <t>O Mix Oficial nao aparece como linha: ele e feito na casa. O que esta aqui sao os cinco insumos que voce compra de fato — polidextrose, maltitol, eritritol, inulina e stevia — ja na proporcao do mix (528/224/163/81/3).</t>
        </is>
      </c>
    </row>
    <row r="31">
      <c r="A31" s="6" t="inlineStr">
        <is>
          <t>A agua tambem nao aparece, por motivo obvio.</t>
        </is>
      </c>
    </row>
    <row r="32">
      <c r="A32" s="6" t="inlineStr">
        <is>
          <t>A coluna NECESSARIO ja inclui a perda de 3%.</t>
        </is>
      </c>
    </row>
    <row r="33">
      <c r="A33" s="6" t="inlineStr">
        <is>
          <t>A coluna COMPRAR e a necessidade liquida, nao o pedido. Ninguem compra 15 g de stevia nem 0,67 kg de doce de leite: voce compra o pacote fechado. Use a coluna como piso e arredonde para a embalagem do fornecedor.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4" customWidth="1" min="3" max="3"/>
    <col width="16" customWidth="1" min="4" max="4"/>
    <col width="17" customWidth="1" min="5" max="5"/>
    <col width="16" customWidth="1" min="6" max="6"/>
    <col width="18" customWidth="1" min="7" max="7"/>
    <col width="30" customWidth="1" min="8" max="8"/>
  </cols>
  <sheetData>
    <row r="1">
      <c r="A1" s="5" t="inlineStr">
        <is>
          <t>EMBALAGEM</t>
        </is>
      </c>
    </row>
    <row r="2">
      <c r="A2" s="6" t="inlineStr">
        <is>
          <t>Quantos potes cada saldo ainda fecha. O menor numero da coluna ALCANCE e o seu gargalo real de producao.</t>
        </is>
      </c>
    </row>
    <row r="4" ht="30" customHeight="1">
      <c r="A4" s="9" t="inlineStr">
        <is>
          <t>ITEM</t>
        </is>
      </c>
      <c r="B4" s="9" t="inlineStr">
        <is>
          <t>POR POTE</t>
        </is>
      </c>
      <c r="C4" s="9" t="inlineStr">
        <is>
          <t>SALDO
(un)</t>
        </is>
      </c>
      <c r="D4" s="9" t="inlineStr">
        <is>
          <t>ALCANCE
(potes)</t>
        </is>
      </c>
      <c r="E4" s="9" t="inlineStr">
        <is>
          <t>NECESSARIO
PLANO (un)</t>
        </is>
      </c>
      <c r="F4" s="9" t="inlineStr">
        <is>
          <t>COMPRAR
(un)</t>
        </is>
      </c>
      <c r="G4" s="9" t="inlineStr">
        <is>
          <t>CUSTO (R$)</t>
        </is>
      </c>
      <c r="H4" s="9" t="inlineStr">
        <is>
          <t>OBS</t>
        </is>
      </c>
    </row>
    <row r="5">
      <c r="A5" s="10" t="inlineStr">
        <is>
          <t>Pote 150 ml com tampa</t>
        </is>
      </c>
      <c r="B5" s="28" t="n">
        <v>1</v>
      </c>
      <c r="C5" s="29" t="n">
        <v>1217</v>
      </c>
      <c r="D5" s="30">
        <f>IF(B5=0,"—",FLOOR(C5/B5,1))</f>
        <v/>
      </c>
      <c r="E5" s="31">
        <f>B5*PLANO!B14</f>
        <v/>
      </c>
      <c r="F5" s="31">
        <f>MAX(0,E5-C5)</f>
        <v/>
      </c>
      <c r="G5" s="13">
        <f>F5*1.07</f>
        <v/>
      </c>
      <c r="H5" s="19" t="inlineStr">
        <is>
          <t>R$ 0,47 negociado em 08/10 — so vale depois que este estoque acabar</t>
        </is>
      </c>
    </row>
    <row r="6">
      <c r="A6" s="10" t="inlineStr">
        <is>
          <t>Colher tradicional</t>
        </is>
      </c>
      <c r="B6" s="28" t="n">
        <v>1</v>
      </c>
      <c r="C6" s="29" t="n">
        <v>4217</v>
      </c>
      <c r="D6" s="30">
        <f>IF(B6=0,"—",FLOOR(C6/B6,1))</f>
        <v/>
      </c>
      <c r="E6" s="31">
        <f>B6*PLANO!B14</f>
        <v/>
      </c>
      <c r="F6" s="31">
        <f>MAX(0,E6-C6)</f>
        <v/>
      </c>
      <c r="G6" s="13">
        <f>F6*0.26</f>
        <v/>
      </c>
      <c r="H6" s="19" t="inlineStr"/>
    </row>
    <row r="7">
      <c r="A7" s="10" t="inlineStr">
        <is>
          <t>Lacre de sabor</t>
        </is>
      </c>
      <c r="B7" s="28" t="n">
        <v>1</v>
      </c>
      <c r="C7" s="29" t="n">
        <v>717</v>
      </c>
      <c r="D7" s="32">
        <f>IF(B7=0,"—",FLOOR(C7/B7,1))</f>
        <v/>
      </c>
      <c r="E7" s="31">
        <f>B7*PLANO!B14</f>
        <v/>
      </c>
      <c r="F7" s="31">
        <f>MAX(0,E7-C7)</f>
        <v/>
      </c>
      <c r="G7" s="13">
        <f>F7*0.34</f>
        <v/>
      </c>
      <c r="H7" s="19" t="inlineStr">
        <is>
          <t>GARGALO — menor alcance dos tres</t>
        </is>
      </c>
    </row>
    <row r="8">
      <c r="A8" s="10" t="inlineStr">
        <is>
          <t>Pote 80 ml (amostra)</t>
        </is>
      </c>
      <c r="B8" s="28" t="n">
        <v>0</v>
      </c>
      <c r="C8" s="29" t="n">
        <v>2000</v>
      </c>
      <c r="D8" s="30">
        <f>IF(B8=0,"—",FLOOR(C8/B8,1))</f>
        <v/>
      </c>
      <c r="E8" s="31">
        <f>B8*PLANO!B14</f>
        <v/>
      </c>
      <c r="F8" s="31">
        <f>MAX(0,E8-C8)</f>
        <v/>
      </c>
      <c r="G8" s="13">
        <f>F8*0</f>
        <v/>
      </c>
      <c r="H8" s="19" t="inlineStr">
        <is>
          <t>amostra, nao entra no pote de venda</t>
        </is>
      </c>
    </row>
    <row r="9">
      <c r="A9" s="10" t="inlineStr">
        <is>
          <t>Colher de amostra</t>
        </is>
      </c>
      <c r="B9" s="28" t="n">
        <v>0</v>
      </c>
      <c r="C9" s="29" t="n">
        <v>5000</v>
      </c>
      <c r="D9" s="30">
        <f>IF(B9=0,"—",FLOOR(C9/B9,1))</f>
        <v/>
      </c>
      <c r="E9" s="31">
        <f>B9*PLANO!B14</f>
        <v/>
      </c>
      <c r="F9" s="31">
        <f>MAX(0,E9-C9)</f>
        <v/>
      </c>
      <c r="G9" s="13">
        <f>F9*0</f>
        <v/>
      </c>
      <c r="H9" s="19" t="inlineStr">
        <is>
          <t>amostra, nao entra no pote de venda</t>
        </is>
      </c>
    </row>
    <row r="10">
      <c r="A10" s="14" t="inlineStr">
        <is>
          <t>CUSTO DE EMBALAGEM</t>
        </is>
      </c>
      <c r="G10" s="17">
        <f>SUM(G5:G9)</f>
        <v/>
      </c>
    </row>
    <row r="12">
      <c r="A12" s="6" t="inlineStr">
        <is>
          <t>Custo de embalagem por pote hoje: R$ 1,67 (pote 1,07 + colher 0,26 + lacre 0,34). Com o pote a R$ 0,47 cai para R$ 1,07.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8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28" customWidth="1" min="9" max="9"/>
  </cols>
  <sheetData>
    <row r="1">
      <c r="A1" s="5" t="inlineStr">
        <is>
          <t>ESTOQUE DE PRODUTO ACABADO</t>
        </is>
      </c>
    </row>
    <row r="2">
      <c r="A2" s="6" t="inlineStr">
        <is>
          <t>Saldo = contagem + entradas - saidas. As entradas e saidas vem da aba MOVIMENTO. Faca uma contagem fisica hoje e corrija a coluna CONTAGEM.</t>
        </is>
      </c>
    </row>
    <row r="4">
      <c r="A4" s="7" t="inlineStr">
        <is>
          <t>DATA DA CONTAGEM</t>
        </is>
      </c>
      <c r="B4" s="8" t="inlineStr">
        <is>
          <t>22/10/2026</t>
        </is>
      </c>
      <c r="C4" s="33" t="inlineStr">
        <is>
          <t>contagem física — 325 potes</t>
        </is>
      </c>
    </row>
    <row r="6" ht="30" customHeight="1">
      <c r="A6" s="9" t="inlineStr">
        <is>
          <t>SABOR</t>
        </is>
      </c>
      <c r="B6" s="9" t="inlineStr">
        <is>
          <t>CONTAGEM
(potes)</t>
        </is>
      </c>
      <c r="C6" s="9" t="inlineStr">
        <is>
          <t>ENTRADAS
(producao)</t>
        </is>
      </c>
      <c r="D6" s="9" t="inlineStr">
        <is>
          <t>SAIDAS
(vendas)</t>
        </is>
      </c>
      <c r="E6" s="9" t="inlineStr">
        <is>
          <t>SALDO
(potes)</t>
        </is>
      </c>
      <c r="F6" s="9" t="inlineStr">
        <is>
          <t>PRECO
(R$)</t>
        </is>
      </c>
      <c r="G6" s="9" t="inlineStr">
        <is>
          <t>VALOR EM
ESTOQUE (R$)</t>
        </is>
      </c>
      <c r="H6" s="9" t="inlineStr">
        <is>
          <t>RECEITA JA
VENDIDA (R$)</t>
        </is>
      </c>
      <c r="I6" s="9" t="inlineStr">
        <is>
          <t>OBS</t>
        </is>
      </c>
    </row>
    <row r="7">
      <c r="A7" s="10" t="inlineStr">
        <is>
          <t>Café Proteico</t>
        </is>
      </c>
      <c r="B7" s="8" t="n">
        <v>40</v>
      </c>
      <c r="C7" s="31">
        <f>SUMIFS(MOVIMENTO!$D:$D,MOVIMENTO!$C:$C,A7,MOVIMENTO!$B:$B,"PRODUCAO")</f>
        <v/>
      </c>
      <c r="D7" s="31">
        <f>SUMIFS(MOVIMENTO!$D:$D,MOVIMENTO!$C:$C,A7,MOVIMENTO!$B:$B,"VENDA")</f>
        <v/>
      </c>
      <c r="E7" s="30">
        <f>B7+C7-D7</f>
        <v/>
      </c>
      <c r="F7" s="13">
        <f>PLANO!D7</f>
        <v/>
      </c>
      <c r="G7" s="13">
        <f>E7*F7</f>
        <v/>
      </c>
      <c r="H7" s="13">
        <f>D7*F7</f>
        <v/>
      </c>
      <c r="I7" s="19" t="inlineStr"/>
    </row>
    <row r="8">
      <c r="A8" s="10" t="inlineStr">
        <is>
          <t>Pistache</t>
        </is>
      </c>
      <c r="B8" s="8" t="n">
        <v>46</v>
      </c>
      <c r="C8" s="31">
        <f>SUMIFS(MOVIMENTO!$D:$D,MOVIMENTO!$C:$C,A8,MOVIMENTO!$B:$B,"PRODUCAO")</f>
        <v/>
      </c>
      <c r="D8" s="31">
        <f>SUMIFS(MOVIMENTO!$D:$D,MOVIMENTO!$C:$C,A8,MOVIMENTO!$B:$B,"VENDA")</f>
        <v/>
      </c>
      <c r="E8" s="30">
        <f>B8+C8-D8</f>
        <v/>
      </c>
      <c r="F8" s="13">
        <f>PLANO!D8</f>
        <v/>
      </c>
      <c r="G8" s="13">
        <f>E8*F8</f>
        <v/>
      </c>
      <c r="H8" s="13">
        <f>D8*F8</f>
        <v/>
      </c>
      <c r="I8" s="19" t="inlineStr"/>
    </row>
    <row r="9">
      <c r="A9" s="10" t="inlineStr">
        <is>
          <t>Manga com Maracujá</t>
        </is>
      </c>
      <c r="B9" s="8" t="n">
        <v>60</v>
      </c>
      <c r="C9" s="31">
        <f>SUMIFS(MOVIMENTO!$D:$D,MOVIMENTO!$C:$C,A9,MOVIMENTO!$B:$B,"PRODUCAO")</f>
        <v/>
      </c>
      <c r="D9" s="31">
        <f>SUMIFS(MOVIMENTO!$D:$D,MOVIMENTO!$C:$C,A9,MOVIMENTO!$B:$B,"VENDA")</f>
        <v/>
      </c>
      <c r="E9" s="30">
        <f>B9+C9-D9</f>
        <v/>
      </c>
      <c r="F9" s="13">
        <f>PLANO!D9</f>
        <v/>
      </c>
      <c r="G9" s="13">
        <f>E9*F9</f>
        <v/>
      </c>
      <c r="H9" s="13">
        <f>D9*F9</f>
        <v/>
      </c>
      <c r="I9" s="19" t="inlineStr"/>
    </row>
    <row r="10">
      <c r="A10" s="10" t="inlineStr">
        <is>
          <t>Sorbet Morango</t>
        </is>
      </c>
      <c r="B10" s="8" t="n">
        <v>32</v>
      </c>
      <c r="C10" s="31">
        <f>SUMIFS(MOVIMENTO!$D:$D,MOVIMENTO!$C:$C,A10,MOVIMENTO!$B:$B,"PRODUCAO")</f>
        <v/>
      </c>
      <c r="D10" s="31">
        <f>SUMIFS(MOVIMENTO!$D:$D,MOVIMENTO!$C:$C,A10,MOVIMENTO!$B:$B,"VENDA")</f>
        <v/>
      </c>
      <c r="E10" s="30">
        <f>B10+C10-D10</f>
        <v/>
      </c>
      <c r="F10" s="13">
        <f>PLANO!D10</f>
        <v/>
      </c>
      <c r="G10" s="13">
        <f>E10*F10</f>
        <v/>
      </c>
      <c r="H10" s="13">
        <f>D10*F10</f>
        <v/>
      </c>
      <c r="I10" s="19" t="inlineStr">
        <is>
          <t>caiu de 53 (13/10) para 32 — ver nota abaixo</t>
        </is>
      </c>
    </row>
    <row r="11">
      <c r="A11" s="10" t="inlineStr">
        <is>
          <t>Torta de Limão</t>
        </is>
      </c>
      <c r="B11" s="8" t="n">
        <v>58</v>
      </c>
      <c r="C11" s="31">
        <f>SUMIFS(MOVIMENTO!$D:$D,MOVIMENTO!$C:$C,A11,MOVIMENTO!$B:$B,"PRODUCAO")</f>
        <v/>
      </c>
      <c r="D11" s="31">
        <f>SUMIFS(MOVIMENTO!$D:$D,MOVIMENTO!$C:$C,A11,MOVIMENTO!$B:$B,"VENDA")</f>
        <v/>
      </c>
      <c r="E11" s="30">
        <f>B11+C11-D11</f>
        <v/>
      </c>
      <c r="F11" s="13">
        <f>PLANO!D11</f>
        <v/>
      </c>
      <c r="G11" s="13">
        <f>E11*F11</f>
        <v/>
      </c>
      <c r="H11" s="13">
        <f>D11*F11</f>
        <v/>
      </c>
      <c r="I11" s="19" t="inlineStr"/>
    </row>
    <row r="12">
      <c r="A12" s="10" t="inlineStr">
        <is>
          <t>Alfajor</t>
        </is>
      </c>
      <c r="B12" s="8" t="n">
        <v>38</v>
      </c>
      <c r="C12" s="31">
        <f>SUMIFS(MOVIMENTO!$D:$D,MOVIMENTO!$C:$C,A12,MOVIMENTO!$B:$B,"PRODUCAO")</f>
        <v/>
      </c>
      <c r="D12" s="31">
        <f>SUMIFS(MOVIMENTO!$D:$D,MOVIMENTO!$C:$C,A12,MOVIMENTO!$B:$B,"VENDA")</f>
        <v/>
      </c>
      <c r="E12" s="30">
        <f>B12+C12-D12</f>
        <v/>
      </c>
      <c r="F12" s="13">
        <f>PLANO!D12</f>
        <v/>
      </c>
      <c r="G12" s="13">
        <f>E12*F12</f>
        <v/>
      </c>
      <c r="H12" s="13">
        <f>D12*F12</f>
        <v/>
      </c>
      <c r="I12" s="19" t="inlineStr">
        <is>
          <t>0 em 13/10, 38 agora — foi produzido no meio</t>
        </is>
      </c>
    </row>
    <row r="13">
      <c r="A13" s="10" t="inlineStr">
        <is>
          <t>Brigadeiro Proteico</t>
        </is>
      </c>
      <c r="B13" s="8" t="n">
        <v>51</v>
      </c>
      <c r="C13" s="31">
        <f>SUMIFS(MOVIMENTO!$D:$D,MOVIMENTO!$C:$C,A13,MOVIMENTO!$B:$B,"PRODUCAO")</f>
        <v/>
      </c>
      <c r="D13" s="31">
        <f>SUMIFS(MOVIMENTO!$D:$D,MOVIMENTO!$C:$C,A13,MOVIMENTO!$B:$B,"VENDA")</f>
        <v/>
      </c>
      <c r="E13" s="30">
        <f>B13+C13-D13</f>
        <v/>
      </c>
      <c r="F13" s="13">
        <f>PLANO!D13</f>
        <v/>
      </c>
      <c r="G13" s="13">
        <f>E13*F13</f>
        <v/>
      </c>
      <c r="H13" s="13">
        <f>D13*F13</f>
        <v/>
      </c>
      <c r="I13" s="19" t="inlineStr"/>
    </row>
    <row r="14">
      <c r="A14" s="14" t="inlineStr">
        <is>
          <t>TOTAL</t>
        </is>
      </c>
      <c r="B14" s="34">
        <f>SUM(B7:B13)</f>
        <v/>
      </c>
      <c r="C14" s="34">
        <f>SUM(C7:C13)</f>
        <v/>
      </c>
      <c r="D14" s="34">
        <f>SUM(D7:D13)</f>
        <v/>
      </c>
      <c r="E14" s="34">
        <f>SUM(E7:E13)</f>
        <v/>
      </c>
      <c r="G14" s="17">
        <f>SUM(G7:G13)</f>
        <v/>
      </c>
      <c r="H14" s="17">
        <f>SUM(H7:H13)</f>
        <v/>
      </c>
    </row>
    <row r="16" ht="39" customHeight="1">
      <c r="A16" s="35" t="inlineStr">
        <is>
          <t>A contagem de 22/10 zera a conta: ela e posterior ao pedido 000007, entao os 125 potes daquele pedido JA ESTAO fora deste numero. Por isso as linhas do 000007 na aba MOVIMENTO estao com tipo HISTORICO — ficam visiveis mas nao sao descontadas de novo. Toda contagem fisica nova funciona assim: o que veio antes dela passa a ser historico.</t>
        </is>
      </c>
    </row>
    <row r="17" ht="26" customHeight="1">
      <c r="A17" s="35" t="inlineStr">
        <is>
          <t>ENTRE 13/10 E 22/10 A PRODUCAO IMPLICITA FOI DE 188 POTES: 262 contados em 13/10, menos 125 vendidos no 000007, daria 137 — e ha 325. Nada dessa producao foi lancada em lugar nenhum.</t>
        </is>
      </c>
    </row>
    <row r="18" ht="39" customHeight="1">
      <c r="A18" s="36" t="inlineStr">
        <is>
          <t>O MORANGO NAO FECHA. Eram 53 em 13/10 e sairam 15 no pedido 000007, o que deixaria 38 mesmo sem produzir nada. Ha 32. Faltam 6 potes, e as explicacoes possiveis sao degustacao, amostra, perda ou venda nao registrada. Nao da para saber qual — e por isso que o controle de saida precisa comecar.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4" customWidth="1" min="3" max="3"/>
    <col width="30" customWidth="1" min="4" max="4"/>
    <col width="11" customWidth="1" min="5" max="5"/>
    <col width="12" customWidth="1" min="6" max="6"/>
    <col width="13" customWidth="1" min="7" max="7"/>
    <col width="10" customWidth="1" min="8" max="8"/>
    <col width="13" customWidth="1" min="9" max="9"/>
    <col width="13" customWidth="1" min="10" max="10"/>
    <col width="14" customWidth="1" min="11" max="11"/>
    <col width="16" customWidth="1" min="12" max="12"/>
    <col width="30" customWidth="1" min="13" max="13"/>
  </cols>
  <sheetData>
    <row r="1">
      <c r="A1" s="5" t="inlineStr">
        <is>
          <t>TESTES DE BANCADA E VERBA MENSAL</t>
        </is>
      </c>
    </row>
    <row r="2">
      <c r="A2" s="6" t="inlineStr">
        <is>
          <t>Reconstruido das nossas conversas — o sistema nunca registrou lote de teste. Confira a coluna EVIDENCIA antes de confiar na linha.</t>
        </is>
      </c>
    </row>
    <row r="4" ht="30" customHeight="1">
      <c r="A4" s="9" t="inlineStr">
        <is>
          <t>DATA</t>
        </is>
      </c>
      <c r="B4" s="9" t="inlineStr">
        <is>
          <t>MES</t>
        </is>
      </c>
      <c r="C4" s="9" t="inlineStr">
        <is>
          <t>TESTE</t>
        </is>
      </c>
      <c r="D4" s="9" t="inlineStr">
        <is>
          <t>POR QUE</t>
        </is>
      </c>
      <c r="E4" s="9" t="inlineStr">
        <is>
          <t>CALDA
(kg)</t>
        </is>
      </c>
      <c r="F4" s="9" t="inlineStr">
        <is>
          <t>R$/kg</t>
        </is>
      </c>
      <c r="G4" s="9" t="inlineStr">
        <is>
          <t>CUSTO DA
CALDA</t>
        </is>
      </c>
      <c r="H4" s="9" t="inlineStr">
        <is>
          <t>POTES
ENVASADOS</t>
        </is>
      </c>
      <c r="I4" s="9" t="inlineStr">
        <is>
          <t>CUSTO
EMBALAGEM</t>
        </is>
      </c>
      <c r="J4" s="9" t="inlineStr">
        <is>
          <t>CUSTO
TOTAL</t>
        </is>
      </c>
      <c r="K4" s="9" t="inlineStr">
        <is>
          <t>RESULTADO</t>
        </is>
      </c>
      <c r="L4" s="9" t="inlineStr">
        <is>
          <t>DESTINO</t>
        </is>
      </c>
      <c r="M4" s="9" t="inlineStr">
        <is>
          <t>EVIDENCIA</t>
        </is>
      </c>
    </row>
    <row r="5">
      <c r="A5" s="8" t="inlineStr"/>
      <c r="B5" s="8" t="inlineStr"/>
      <c r="C5" s="10" t="inlineStr">
        <is>
          <t>Sorbet Melagrana (romã) · oficial</t>
        </is>
      </c>
      <c r="D5" s="37" t="inlineStr">
        <is>
          <t>Sabor novo com a pasta MEC3 de romã</t>
        </is>
      </c>
      <c r="E5" s="38" t="n">
        <v>1</v>
      </c>
      <c r="F5" s="12" t="n"/>
      <c r="G5" s="13">
        <f>IF(OR(E5="",F5=""),"",E5*F5)</f>
        <v/>
      </c>
      <c r="H5" s="8" t="n"/>
      <c r="I5" s="13">
        <f>IF(H5="","",H5*1.67)</f>
        <v/>
      </c>
      <c r="J5" s="39">
        <f>N(G5)+N(I5)</f>
        <v/>
      </c>
      <c r="K5" s="8" t="inlineStr">
        <is>
          <t>REPROVADO</t>
        </is>
      </c>
      <c r="L5" s="8" t="inlineStr">
        <is>
          <t>descarte</t>
        </is>
      </c>
      <c r="M5" s="19" t="inlineStr">
        <is>
          <t>lista do Gabriel, 22/10/2026 — "ficou bem ruim o sabor"; receita não cadastrada</t>
        </is>
      </c>
    </row>
    <row r="6">
      <c r="A6" s="8" t="inlineStr"/>
      <c r="B6" s="8" t="inlineStr"/>
      <c r="C6" s="10" t="inlineStr">
        <is>
          <t>Melagrana · ajuste / reprocesso base leite</t>
        </is>
      </c>
      <c r="D6" s="37" t="inlineStr">
        <is>
          <t>Salvar a calda reprovada</t>
        </is>
      </c>
      <c r="E6" s="38" t="n"/>
      <c r="F6" s="12" t="n"/>
      <c r="G6" s="13">
        <f>IF(OR(E6="",F6=""),"",E6*F6)</f>
        <v/>
      </c>
      <c r="H6" s="8" t="n"/>
      <c r="I6" s="13">
        <f>IF(H6="","",H6*1.67)</f>
        <v/>
      </c>
      <c r="J6" s="39">
        <f>N(G6)+N(I6)</f>
        <v/>
      </c>
      <c r="K6" s="8" t="inlineStr">
        <is>
          <t>PENDENTE</t>
        </is>
      </c>
      <c r="L6" s="8" t="inlineStr">
        <is>
          <t>consumo próprio</t>
        </is>
      </c>
      <c r="M6" s="19" t="inlineStr">
        <is>
          <t>lista do Gabriel, 22/10/2026 — pediu o reprocesso para base leite</t>
        </is>
      </c>
    </row>
    <row r="7">
      <c r="A7" s="8" t="inlineStr"/>
      <c r="B7" s="8" t="inlineStr"/>
      <c r="C7" s="10" t="inlineStr">
        <is>
          <t>Sorbet de Cajú</t>
        </is>
      </c>
      <c r="D7" s="37" t="inlineStr">
        <is>
          <t>Sabor novo da linha Fresh</t>
        </is>
      </c>
      <c r="E7" s="38" t="n"/>
      <c r="F7" s="12" t="n"/>
      <c r="G7" s="13">
        <f>IF(OR(E7="",F7=""),"",E7*F7)</f>
        <v/>
      </c>
      <c r="H7" s="8" t="n"/>
      <c r="I7" s="13">
        <f>IF(H7="","",H7*1.67)</f>
        <v/>
      </c>
      <c r="J7" s="39">
        <f>N(G7)+N(I7)</f>
        <v/>
      </c>
      <c r="K7" s="8" t="inlineStr">
        <is>
          <t>PENDENTE</t>
        </is>
      </c>
      <c r="L7" s="8" t="inlineStr">
        <is>
          <t>consumo próprio</t>
        </is>
      </c>
      <c r="M7" s="19" t="inlineStr">
        <is>
          <t>lista do Gabriel, 22/10/2026 — receita não cadastrada</t>
        </is>
      </c>
    </row>
    <row r="8">
      <c r="A8" s="8" t="inlineStr"/>
      <c r="B8" s="8" t="inlineStr"/>
      <c r="C8" s="10" t="inlineStr">
        <is>
          <t>Sorbet de Goiaba</t>
        </is>
      </c>
      <c r="D8" s="37" t="inlineStr">
        <is>
          <t>Sabor novo da linha Fresh</t>
        </is>
      </c>
      <c r="E8" s="38" t="n"/>
      <c r="F8" s="12" t="n"/>
      <c r="G8" s="13">
        <f>IF(OR(E8="",F8=""),"",E8*F8)</f>
        <v/>
      </c>
      <c r="H8" s="8" t="n"/>
      <c r="I8" s="13">
        <f>IF(H8="","",H8*1.67)</f>
        <v/>
      </c>
      <c r="J8" s="39">
        <f>N(G8)+N(I8)</f>
        <v/>
      </c>
      <c r="K8" s="8" t="inlineStr">
        <is>
          <t>PENDENTE</t>
        </is>
      </c>
      <c r="L8" s="8" t="inlineStr">
        <is>
          <t>consumo próprio</t>
        </is>
      </c>
      <c r="M8" s="19" t="inlineStr">
        <is>
          <t>lista do Gabriel, 22/10/2026 — GOIABA está sem preço no sistema</t>
        </is>
      </c>
    </row>
    <row r="9">
      <c r="A9" s="8" t="inlineStr"/>
      <c r="B9" s="8" t="inlineStr"/>
      <c r="C9" s="10" t="inlineStr">
        <is>
          <t>Sorbet de Siriguela</t>
        </is>
      </c>
      <c r="D9" s="37" t="inlineStr">
        <is>
          <t>Sabor novo da linha Fresh</t>
        </is>
      </c>
      <c r="E9" s="38" t="n"/>
      <c r="F9" s="12" t="n"/>
      <c r="G9" s="13">
        <f>IF(OR(E9="",F9=""),"",E9*F9)</f>
        <v/>
      </c>
      <c r="H9" s="8" t="n"/>
      <c r="I9" s="13">
        <f>IF(H9="","",H9*1.67)</f>
        <v/>
      </c>
      <c r="J9" s="39">
        <f>N(G9)+N(I9)</f>
        <v/>
      </c>
      <c r="K9" s="8" t="inlineStr">
        <is>
          <t>PENDENTE</t>
        </is>
      </c>
      <c r="L9" s="8" t="inlineStr">
        <is>
          <t>consumo próprio</t>
        </is>
      </c>
      <c r="M9" s="19" t="inlineStr">
        <is>
          <t>lista do Gabriel, 22/10/2026 — SIRIGUELA (polpa) está sem preço</t>
        </is>
      </c>
    </row>
    <row r="10">
      <c r="A10" s="8" t="inlineStr"/>
      <c r="B10" s="8" t="inlineStr"/>
      <c r="C10" s="10" t="inlineStr">
        <is>
          <t>Avelã com açúcar de maçã</t>
        </is>
      </c>
      <c r="D10" s="37" t="inlineStr">
        <is>
          <t>Exercício da apostila do Lulo</t>
        </is>
      </c>
      <c r="E10" s="38" t="n"/>
      <c r="F10" s="12" t="n"/>
      <c r="G10" s="13">
        <f>IF(OR(E10="",F10=""),"",E10*F10)</f>
        <v/>
      </c>
      <c r="H10" s="8" t="n"/>
      <c r="I10" s="13">
        <f>IF(H10="","",H10*1.67)</f>
        <v/>
      </c>
      <c r="J10" s="39">
        <f>N(G10)+N(I10)</f>
        <v/>
      </c>
      <c r="K10" s="8" t="inlineStr">
        <is>
          <t>PENDENTE</t>
        </is>
      </c>
      <c r="L10" s="8" t="inlineStr">
        <is>
          <t>consumo próprio</t>
        </is>
      </c>
      <c r="M10" s="19" t="inlineStr">
        <is>
          <t>lista do Gabriel, 22/10/2026 — PASTA DE AVELA 100% está sem preço; o Gianduia do Lulo (R$ 6,94/kg) é o mais próximo cadastrado</t>
        </is>
      </c>
    </row>
    <row r="11">
      <c r="A11" s="8" t="inlineStr"/>
      <c r="B11" s="8" t="inlineStr"/>
      <c r="C11" s="10" t="inlineStr">
        <is>
          <t>Baunilha tradicional</t>
        </is>
      </c>
      <c r="D11" s="37" t="inlineStr">
        <is>
          <t>Par de prova da baunilha proteica</t>
        </is>
      </c>
      <c r="E11" s="38" t="n"/>
      <c r="F11" s="18" t="n">
        <v>26.42</v>
      </c>
      <c r="G11" s="13">
        <f>IF(OR(E11="",F11=""),"",E11*F11)</f>
        <v/>
      </c>
      <c r="H11" s="8" t="n"/>
      <c r="I11" s="13">
        <f>IF(H11="","",H11*1.67)</f>
        <v/>
      </c>
      <c r="J11" s="39">
        <f>N(G11)+N(I11)</f>
        <v/>
      </c>
      <c r="K11" s="8" t="inlineStr">
        <is>
          <t>PENDENTE</t>
        </is>
      </c>
      <c r="L11" s="8" t="inlineStr">
        <is>
          <t>consumo próprio</t>
        </is>
      </c>
      <c r="M11" s="19" t="inlineStr">
        <is>
          <t>lista do Gabriel, 22/10/2026 — cadastrada como Baunilha · SPECIAL</t>
        </is>
      </c>
    </row>
    <row r="12">
      <c r="A12" s="8" t="inlineStr"/>
      <c r="B12" s="8" t="inlineStr"/>
      <c r="C12" s="10" t="inlineStr">
        <is>
          <t>Baunilha proteica</t>
        </is>
      </c>
      <c r="D12" s="37" t="inlineStr">
        <is>
          <t>Linha Boost — o pedido era 15 g de proteína</t>
        </is>
      </c>
      <c r="E12" s="38" t="n"/>
      <c r="F12" s="18" t="n">
        <v>47.85</v>
      </c>
      <c r="G12" s="13">
        <f>IF(OR(E12="",F12=""),"",E12*F12)</f>
        <v/>
      </c>
      <c r="H12" s="8" t="n"/>
      <c r="I12" s="13">
        <f>IF(H12="","",H12*1.67)</f>
        <v/>
      </c>
      <c r="J12" s="39">
        <f>N(G12)+N(I12)</f>
        <v/>
      </c>
      <c r="K12" s="8" t="inlineStr">
        <is>
          <t>PENDENTE</t>
        </is>
      </c>
      <c r="L12" s="8" t="inlineStr">
        <is>
          <t>consumo próprio</t>
        </is>
      </c>
      <c r="M12" s="19" t="inlineStr">
        <is>
          <t>lista do Gabriel, 22/10/2026 — cadastrada como Baunilha Proteica · BOOST (entrega 13 g, não 15)</t>
        </is>
      </c>
    </row>
    <row r="13">
      <c r="A13" s="8" t="inlineStr"/>
      <c r="B13" s="8" t="inlineStr"/>
      <c r="C13" s="10" t="inlineStr">
        <is>
          <t>Biscoito</t>
        </is>
      </c>
      <c r="D13" s="37" t="inlineStr">
        <is>
          <t>Sabor novo com a pasta Biscottino</t>
        </is>
      </c>
      <c r="E13" s="38" t="n"/>
      <c r="F13" s="12" t="n"/>
      <c r="G13" s="13">
        <f>IF(OR(E13="",F13=""),"",E13*F13)</f>
        <v/>
      </c>
      <c r="H13" s="8" t="n"/>
      <c r="I13" s="13">
        <f>IF(H13="","",H13*1.67)</f>
        <v/>
      </c>
      <c r="J13" s="39">
        <f>N(G13)+N(I13)</f>
        <v/>
      </c>
      <c r="K13" s="8" t="inlineStr">
        <is>
          <t>PENDENTE</t>
        </is>
      </c>
      <c r="L13" s="8" t="inlineStr">
        <is>
          <t>consumo próprio</t>
        </is>
      </c>
      <c r="M13" s="19" t="inlineStr">
        <is>
          <t>lista do Gabriel, 22/10/2026 — receita não cadastrada; a pasta tem preço (R$ 192,34/kg)</t>
        </is>
      </c>
    </row>
    <row r="14">
      <c r="A14" s="8" t="inlineStr"/>
      <c r="B14" s="8" t="inlineStr"/>
      <c r="C14" s="10" t="inlineStr">
        <is>
          <t>Yogurt</t>
        </is>
      </c>
      <c r="D14" s="37" t="inlineStr">
        <is>
          <t>Sabor novo de base iogurte</t>
        </is>
      </c>
      <c r="E14" s="38" t="n"/>
      <c r="F14" s="18" t="n">
        <v>7.2</v>
      </c>
      <c r="G14" s="13">
        <f>IF(OR(E14="",F14=""),"",E14*F14)</f>
        <v/>
      </c>
      <c r="H14" s="8" t="n"/>
      <c r="I14" s="13">
        <f>IF(H14="","",H14*1.67)</f>
        <v/>
      </c>
      <c r="J14" s="39">
        <f>N(G14)+N(I14)</f>
        <v/>
      </c>
      <c r="K14" s="8" t="inlineStr">
        <is>
          <t>PENDENTE</t>
        </is>
      </c>
      <c r="L14" s="8" t="inlineStr">
        <is>
          <t>consumo próprio</t>
        </is>
      </c>
      <c r="M14" s="19" t="inlineStr">
        <is>
          <t>lista do Gabriel, 22/10/2026 — custo do Lulo · Iogurte (redução polióis); IOGURTE INTEGRAL está sem preço</t>
        </is>
      </c>
    </row>
    <row r="15">
      <c r="A15" s="8" t="inlineStr"/>
      <c r="B15" s="8" t="inlineStr"/>
      <c r="C15" s="10" t="inlineStr">
        <is>
          <t>Pipoca</t>
        </is>
      </c>
      <c r="D15" s="37" t="inlineStr">
        <is>
          <t>Sabor novo com a pasta Gusto Pop-Corn</t>
        </is>
      </c>
      <c r="E15" s="38" t="n"/>
      <c r="F15" s="12" t="n"/>
      <c r="G15" s="13">
        <f>IF(OR(E15="",F15=""),"",E15*F15)</f>
        <v/>
      </c>
      <c r="H15" s="8" t="n"/>
      <c r="I15" s="13">
        <f>IF(H15="","",H15*1.67)</f>
        <v/>
      </c>
      <c r="J15" s="39">
        <f>N(G15)+N(I15)</f>
        <v/>
      </c>
      <c r="K15" s="8" t="inlineStr">
        <is>
          <t>PENDENTE</t>
        </is>
      </c>
      <c r="L15" s="8" t="inlineStr">
        <is>
          <t>consumo próprio</t>
        </is>
      </c>
      <c r="M15" s="19" t="inlineStr">
        <is>
          <t>lista do Gabriel, 22/10/2026 — PASTA GUSTO POP-CORN MEC3 está sem preço, o custo não fecha</t>
        </is>
      </c>
    </row>
    <row r="16">
      <c r="A16" s="8" t="inlineStr"/>
      <c r="B16" s="8" t="inlineStr"/>
      <c r="C16" s="10" t="inlineStr">
        <is>
          <t>Latíssimo</t>
        </is>
      </c>
      <c r="D16" s="37" t="inlineStr">
        <is>
          <t>Sabor novo de base leite</t>
        </is>
      </c>
      <c r="E16" s="38" t="n"/>
      <c r="F16" s="18" t="n">
        <v>23.04</v>
      </c>
      <c r="G16" s="13">
        <f>IF(OR(E16="",F16=""),"",E16*F16)</f>
        <v/>
      </c>
      <c r="H16" s="8" t="n"/>
      <c r="I16" s="13">
        <f>IF(H16="","",H16*1.67)</f>
        <v/>
      </c>
      <c r="J16" s="39">
        <f>N(G16)+N(I16)</f>
        <v/>
      </c>
      <c r="K16" s="8" t="inlineStr">
        <is>
          <t>REPROVADO</t>
        </is>
      </c>
      <c r="L16" s="8" t="inlineStr">
        <is>
          <t>consumo próprio</t>
        </is>
      </c>
      <c r="M16" s="19" t="inlineStr">
        <is>
          <t>lista do Gabriel, 22/10/2026 — "estava ruim"; custo do Fior di Latte ZL como referência</t>
        </is>
      </c>
    </row>
    <row r="17">
      <c r="A17" s="8" t="inlineStr"/>
      <c r="B17" s="8" t="inlineStr"/>
      <c r="C17" s="10" t="inlineStr">
        <is>
          <t>Latíssimo · ajuste da receita</t>
        </is>
      </c>
      <c r="D17" s="37" t="inlineStr">
        <is>
          <t>Corrigir o Latíssimo que saiu ruim</t>
        </is>
      </c>
      <c r="E17" s="38" t="n"/>
      <c r="F17" s="18" t="n">
        <v>23.04</v>
      </c>
      <c r="G17" s="13">
        <f>IF(OR(E17="",F17=""),"",E17*F17)</f>
        <v/>
      </c>
      <c r="H17" s="8" t="n"/>
      <c r="I17" s="13">
        <f>IF(H17="","",H17*1.67)</f>
        <v/>
      </c>
      <c r="J17" s="39">
        <f>N(G17)+N(I17)</f>
        <v/>
      </c>
      <c r="K17" s="8" t="inlineStr">
        <is>
          <t>PENDENTE</t>
        </is>
      </c>
      <c r="L17" s="8" t="inlineStr">
        <is>
          <t>consumo próprio</t>
        </is>
      </c>
      <c r="M17" s="19" t="inlineStr">
        <is>
          <t>lista do Gabriel, 22/10/2026</t>
        </is>
      </c>
    </row>
    <row r="18">
      <c r="A18" s="8" t="inlineStr">
        <is>
          <t>24/09/2026</t>
        </is>
      </c>
      <c r="B18" s="8" t="inlineStr">
        <is>
          <t>set/2026</t>
        </is>
      </c>
      <c r="C18" s="10" t="inlineStr">
        <is>
          <t>Torta de Limão · v3 LULO</t>
        </is>
      </c>
      <c r="D18" s="37" t="inlineStr">
        <is>
          <t>Subir os parâmetros para a faixa do Lulo</t>
        </is>
      </c>
      <c r="E18" s="38" t="n"/>
      <c r="F18" s="18" t="n">
        <v>44.6</v>
      </c>
      <c r="G18" s="13">
        <f>IF(OR(E18="",F18=""),"",E18*F18)</f>
        <v/>
      </c>
      <c r="H18" s="8" t="n"/>
      <c r="I18" s="13">
        <f>IF(H18="","",H18*1.67)</f>
        <v/>
      </c>
      <c r="J18" s="39">
        <f>N(G18)+N(I18)</f>
        <v/>
      </c>
      <c r="K18" s="8" t="inlineStr">
        <is>
          <t>APROVADO</t>
        </is>
      </c>
      <c r="L18" s="8" t="inlineStr">
        <is>
          <t>virou venda</t>
        </is>
      </c>
      <c r="M18" s="19" t="inlineStr">
        <is>
          <t>aprovou em bancada: "ficou sensacional"</t>
        </is>
      </c>
    </row>
    <row r="19">
      <c r="A19" s="8" t="inlineStr">
        <is>
          <t>24/09/2026</t>
        </is>
      </c>
      <c r="B19" s="8" t="inlineStr">
        <is>
          <t>set/2026</t>
        </is>
      </c>
      <c r="C19" s="10" t="inlineStr">
        <is>
          <t>Brigadeiro Proteico · versão que não pegava ponto</t>
        </is>
      </c>
      <c r="D19" s="37" t="inlineStr">
        <is>
          <t>Linha Boost com 12 g de proteína</t>
        </is>
      </c>
      <c r="E19" s="38" t="n"/>
      <c r="F19" s="18" t="n">
        <v>56.19</v>
      </c>
      <c r="G19" s="13">
        <f>IF(OR(E19="",F19=""),"",E19*F19)</f>
        <v/>
      </c>
      <c r="H19" s="8" t="n"/>
      <c r="I19" s="13">
        <f>IF(H19="","",H19*1.67)</f>
        <v/>
      </c>
      <c r="J19" s="39">
        <f>N(G19)+N(I19)</f>
        <v/>
      </c>
      <c r="K19" s="8" t="inlineStr">
        <is>
          <t>REPROVADO</t>
        </is>
      </c>
      <c r="L19" s="8" t="inlineStr">
        <is>
          <t>descarte</t>
        </is>
      </c>
      <c r="M19" s="19" t="inlineStr">
        <is>
          <t>não pegava ponto — substituída pelo chocolate proteico</t>
        </is>
      </c>
    </row>
    <row r="20">
      <c r="A20" s="8" t="inlineStr">
        <is>
          <t>24/09/2026</t>
        </is>
      </c>
      <c r="B20" s="8" t="inlineStr">
        <is>
          <t>set/2026</t>
        </is>
      </c>
      <c r="C20" s="10" t="inlineStr">
        <is>
          <t>Chocolate Proteico (virou o Brigadeiro oficial)</t>
        </is>
      </c>
      <c r="D20" s="37" t="inlineStr">
        <is>
          <t>Substituir a versão que não pegava ponto</t>
        </is>
      </c>
      <c r="E20" s="38" t="n"/>
      <c r="F20" s="18" t="n">
        <v>41.09</v>
      </c>
      <c r="G20" s="13">
        <f>IF(OR(E20="",F20=""),"",E20*F20)</f>
        <v/>
      </c>
      <c r="H20" s="8" t="n"/>
      <c r="I20" s="13">
        <f>IF(H20="","",H20*1.67)</f>
        <v/>
      </c>
      <c r="J20" s="39">
        <f>N(G20)+N(I20)</f>
        <v/>
      </c>
      <c r="K20" s="8" t="inlineStr">
        <is>
          <t>APROVADO</t>
        </is>
      </c>
      <c r="L20" s="8" t="inlineStr">
        <is>
          <t>virou venda</t>
        </is>
      </c>
      <c r="M20" s="19" t="inlineStr">
        <is>
          <t>aprovado no mesmo dia, tomou o nome Brigadeiro</t>
        </is>
      </c>
    </row>
    <row r="21">
      <c r="A21" s="8" t="inlineStr"/>
      <c r="B21" s="8" t="inlineStr">
        <is>
          <t>set/2026</t>
        </is>
      </c>
      <c r="C21" s="10" t="inlineStr">
        <is>
          <t>Gelato de Ninho · mix antigo + creme 17%</t>
        </is>
      </c>
      <c r="D21" s="37" t="inlineStr">
        <is>
          <t>Validar a textura do mix antigo</t>
        </is>
      </c>
      <c r="E21" s="38" t="n"/>
      <c r="F21" s="12" t="n"/>
      <c r="G21" s="13">
        <f>IF(OR(E21="",F21=""),"",E21*F21)</f>
        <v/>
      </c>
      <c r="H21" s="8" t="n"/>
      <c r="I21" s="13">
        <f>IF(H21="","",H21*1.67)</f>
        <v/>
      </c>
      <c r="J21" s="39">
        <f>N(G21)+N(I21)</f>
        <v/>
      </c>
      <c r="K21" s="8" t="inlineStr">
        <is>
          <t>APROVADO</t>
        </is>
      </c>
      <c r="L21" s="8" t="inlineStr">
        <is>
          <t>consumo próprio</t>
        </is>
      </c>
      <c r="M21" s="19" t="inlineStr">
        <is>
          <t>aprovou a textura: "ficou muito boa"</t>
        </is>
      </c>
    </row>
    <row r="22">
      <c r="A22" s="8" t="inlineStr"/>
      <c r="B22" s="8" t="inlineStr">
        <is>
          <t>set/2026</t>
        </is>
      </c>
      <c r="C22" s="10" t="inlineStr">
        <is>
          <t>Mix com inulina</t>
        </is>
      </c>
      <c r="D22" s="37" t="inlineStr">
        <is>
          <t>Comparar o mix com e sem inulina</t>
        </is>
      </c>
      <c r="E22" s="38" t="n"/>
      <c r="F22" s="12" t="n"/>
      <c r="G22" s="13">
        <f>IF(OR(E22="",F22=""),"",E22*F22)</f>
        <v/>
      </c>
      <c r="H22" s="8" t="n"/>
      <c r="I22" s="13">
        <f>IF(H22="","",H22*1.67)</f>
        <v/>
      </c>
      <c r="J22" s="39">
        <f>N(G22)+N(I22)</f>
        <v/>
      </c>
      <c r="K22" s="8" t="inlineStr">
        <is>
          <t>APROVADO</t>
        </is>
      </c>
      <c r="L22" s="8" t="inlineStr">
        <is>
          <t>consumo próprio</t>
        </is>
      </c>
      <c r="M22" s="19" t="inlineStr">
        <is>
          <t>"com a inulina no mix tirou o melhor resultado de bancada"</t>
        </is>
      </c>
    </row>
    <row r="23">
      <c r="A23" s="8" t="inlineStr"/>
      <c r="B23" s="8" t="inlineStr">
        <is>
          <t>out/2026</t>
        </is>
      </c>
      <c r="C23" s="10" t="inlineStr">
        <is>
          <t>Café Proteico · v6 CREMOBENE</t>
        </is>
      </c>
      <c r="D23" s="37" t="inlineStr">
        <is>
          <t>Fornecedor do núcleo Arkeo parou de fornecer</t>
        </is>
      </c>
      <c r="E23" s="38" t="n"/>
      <c r="F23" s="18" t="n">
        <v>54.03</v>
      </c>
      <c r="G23" s="13">
        <f>IF(OR(E23="",F23=""),"",E23*F23)</f>
        <v/>
      </c>
      <c r="H23" s="8" t="n"/>
      <c r="I23" s="13">
        <f>IF(H23="","",H23*1.67)</f>
        <v/>
      </c>
      <c r="J23" s="39">
        <f>N(G23)+N(I23)</f>
        <v/>
      </c>
      <c r="K23" s="8" t="inlineStr">
        <is>
          <t>APROVADO</t>
        </is>
      </c>
      <c r="L23" s="8" t="inlineStr">
        <is>
          <t>virou venda</t>
        </is>
      </c>
      <c r="M23" s="19" t="inlineStr">
        <is>
          <t>Cremobene entrou em uso oficial depois deste teste</t>
        </is>
      </c>
    </row>
    <row r="24">
      <c r="A24" s="8" t="inlineStr"/>
      <c r="B24" s="8" t="inlineStr">
        <is>
          <t>out/2026</t>
        </is>
      </c>
      <c r="C24" s="10" t="inlineStr">
        <is>
          <t>Sorbet Morango · CREMOBENE</t>
        </is>
      </c>
      <c r="D24" s="37" t="inlineStr">
        <is>
          <t>Mesma troca de estabilizante</t>
        </is>
      </c>
      <c r="E24" s="38" t="n"/>
      <c r="F24" s="18" t="n">
        <v>21.47</v>
      </c>
      <c r="G24" s="13">
        <f>IF(OR(E24="",F24=""),"",E24*F24)</f>
        <v/>
      </c>
      <c r="H24" s="8" t="n"/>
      <c r="I24" s="13">
        <f>IF(H24="","",H24*1.67)</f>
        <v/>
      </c>
      <c r="J24" s="39">
        <f>N(G24)+N(I24)</f>
        <v/>
      </c>
      <c r="K24" s="8" t="inlineStr">
        <is>
          <t>APROVADO</t>
        </is>
      </c>
      <c r="L24" s="8" t="inlineStr">
        <is>
          <t>virou venda</t>
        </is>
      </c>
      <c r="M24" s="19" t="inlineStr">
        <is>
          <t>idem</t>
        </is>
      </c>
    </row>
    <row r="25">
      <c r="A25" s="8" t="inlineStr"/>
      <c r="B25" s="8" t="inlineStr">
        <is>
          <t>out/2026</t>
        </is>
      </c>
      <c r="C25" s="10" t="inlineStr">
        <is>
          <t>Manga com Maracujá · CREMOBENE</t>
        </is>
      </c>
      <c r="D25" s="37" t="inlineStr">
        <is>
          <t>Mesma troca de estabilizante</t>
        </is>
      </c>
      <c r="E25" s="38" t="n"/>
      <c r="F25" s="18" t="n">
        <v>26.25</v>
      </c>
      <c r="G25" s="13">
        <f>IF(OR(E25="",F25=""),"",E25*F25)</f>
        <v/>
      </c>
      <c r="H25" s="8" t="n"/>
      <c r="I25" s="13">
        <f>IF(H25="","",H25*1.67)</f>
        <v/>
      </c>
      <c r="J25" s="39">
        <f>N(G25)+N(I25)</f>
        <v/>
      </c>
      <c r="K25" s="8" t="inlineStr">
        <is>
          <t>APROVADO</t>
        </is>
      </c>
      <c r="L25" s="8" t="inlineStr">
        <is>
          <t>virou venda</t>
        </is>
      </c>
      <c r="M25" s="19" t="inlineStr">
        <is>
          <t>idem</t>
        </is>
      </c>
    </row>
    <row r="26">
      <c r="A26" s="8" t="inlineStr"/>
      <c r="B26" s="8" t="inlineStr">
        <is>
          <t>out/2026</t>
        </is>
      </c>
      <c r="C26" s="10" t="inlineStr">
        <is>
          <t>Alfajor · estévia 0,45</t>
        </is>
      </c>
      <c r="D26" s="37" t="inlineStr">
        <is>
          <t>Primeiro sabor novo pós-lançamento</t>
        </is>
      </c>
      <c r="E26" s="38" t="n"/>
      <c r="F26" s="18" t="n">
        <v>33.75</v>
      </c>
      <c r="G26" s="13">
        <f>IF(OR(E26="",F26=""),"",E26*F26)</f>
        <v/>
      </c>
      <c r="H26" s="8" t="n"/>
      <c r="I26" s="13">
        <f>IF(H26="","",H26*1.67)</f>
        <v/>
      </c>
      <c r="J26" s="39">
        <f>N(G26)+N(I26)</f>
        <v/>
      </c>
      <c r="K26" s="8" t="inlineStr">
        <is>
          <t>APROVADO</t>
        </is>
      </c>
      <c r="L26" s="8" t="inlineStr">
        <is>
          <t>virou venda</t>
        </is>
      </c>
      <c r="M26" s="19" t="inlineStr">
        <is>
          <t>"receita validada e funcional" — 20 potes no pedido 000007</t>
        </is>
      </c>
    </row>
    <row r="27">
      <c r="A27" s="8" t="inlineStr"/>
      <c r="B27" s="8" t="inlineStr">
        <is>
          <t>out/2026</t>
        </is>
      </c>
      <c r="C27" s="10" t="inlineStr">
        <is>
          <t>Pistache · 2 pastas novas, meia a meia</t>
        </is>
      </c>
      <c r="D27" s="37" t="inlineStr">
        <is>
          <t>Comparar duas pastas de pistache novas</t>
        </is>
      </c>
      <c r="E27" s="38" t="n">
        <v>1.5</v>
      </c>
      <c r="F27" s="18" t="n">
        <v>22.03</v>
      </c>
      <c r="G27" s="13">
        <f>IF(OR(E27="",F27=""),"",E27*F27)</f>
        <v/>
      </c>
      <c r="H27" s="8" t="n"/>
      <c r="I27" s="13">
        <f>IF(H27="","",H27*1.67)</f>
        <v/>
      </c>
      <c r="J27" s="39">
        <f>N(G27)+N(I27)</f>
        <v/>
      </c>
      <c r="K27" s="8" t="inlineStr">
        <is>
          <t>PENDENTE</t>
        </is>
      </c>
      <c r="L27" s="8" t="inlineStr">
        <is>
          <t>consumo próprio</t>
        </is>
      </c>
      <c r="M27" s="19" t="inlineStr">
        <is>
          <t>"vou fazer 1.5kg de pistache pra saborizar metade metade"</t>
        </is>
      </c>
    </row>
    <row r="28">
      <c r="A28" s="8" t="inlineStr"/>
      <c r="B28" s="8" t="inlineStr">
        <is>
          <t>out/2026</t>
        </is>
      </c>
      <c r="C28" s="10" t="inlineStr">
        <is>
          <t>Pistache · base neutra para dose de pasta</t>
        </is>
      </c>
      <c r="D28" s="37" t="inlineStr">
        <is>
          <t>Achar a dose certa da pasta nova</t>
        </is>
      </c>
      <c r="E28" s="38" t="n">
        <v>0.75</v>
      </c>
      <c r="F28" s="18" t="n">
        <v>22.03</v>
      </c>
      <c r="G28" s="13">
        <f>IF(OR(E28="",F28=""),"",E28*F28)</f>
        <v/>
      </c>
      <c r="H28" s="8" t="n"/>
      <c r="I28" s="13">
        <f>IF(H28="","",H28*1.67)</f>
        <v/>
      </c>
      <c r="J28" s="39">
        <f>N(G28)+N(I28)</f>
        <v/>
      </c>
      <c r="K28" s="8" t="inlineStr">
        <is>
          <t>PENDENTE</t>
        </is>
      </c>
      <c r="L28" s="8" t="inlineStr">
        <is>
          <t>consumo próprio</t>
        </is>
      </c>
      <c r="M28" s="19" t="inlineStr">
        <is>
          <t>pediu a dose de pasta para 750 g de base</t>
        </is>
      </c>
    </row>
    <row r="29">
      <c r="A29" s="8" t="inlineStr">
        <is>
          <t>22/10/2026</t>
        </is>
      </c>
      <c r="B29" s="8" t="inlineStr">
        <is>
          <t>out/2026</t>
        </is>
      </c>
      <c r="C29" s="10" t="inlineStr">
        <is>
          <t>Canela · pasta PreGel ST-58472</t>
        </is>
      </c>
      <c r="D29" s="37" t="inlineStr">
        <is>
          <t>Sabor novo, pasta recém-chegada</t>
        </is>
      </c>
      <c r="E29" s="38" t="n">
        <v>1</v>
      </c>
      <c r="F29" s="18" t="n">
        <v>24.83</v>
      </c>
      <c r="G29" s="13">
        <f>IF(OR(E29="",F29=""),"",E29*F29)</f>
        <v/>
      </c>
      <c r="H29" s="8" t="n"/>
      <c r="I29" s="13">
        <f>IF(H29="","",H29*1.67)</f>
        <v/>
      </c>
      <c r="J29" s="39">
        <f>N(G29)+N(I29)</f>
        <v/>
      </c>
      <c r="K29" s="8" t="inlineStr">
        <is>
          <t>PENDENTE</t>
        </is>
      </c>
      <c r="L29" s="8" t="inlineStr">
        <is>
          <t>consumo próprio</t>
        </is>
      </c>
      <c r="M29" s="19" t="inlineStr">
        <is>
          <t>balanceado em 22/10 — não serve para venda (1,5 g de açúcar adicionado)</t>
        </is>
      </c>
    </row>
    <row r="30">
      <c r="A30" s="8" t="inlineStr"/>
      <c r="B30" s="8" t="inlineStr"/>
      <c r="C30" s="10" t="inlineStr">
        <is>
          <t>Alfajor · estévia 0,30</t>
        </is>
      </c>
      <c r="D30" s="37" t="inlineStr">
        <is>
          <t>Baixar a estévia de 0,45 para 0,30</t>
        </is>
      </c>
      <c r="E30" s="38" t="n"/>
      <c r="F30" s="18" t="n">
        <v>33.75</v>
      </c>
      <c r="G30" s="13">
        <f>IF(OR(E30="",F30=""),"",E30*F30)</f>
        <v/>
      </c>
      <c r="H30" s="8" t="n"/>
      <c r="I30" s="13">
        <f>IF(H30="","",H30*1.67)</f>
        <v/>
      </c>
      <c r="J30" s="39">
        <f>N(G30)+N(I30)</f>
        <v/>
      </c>
      <c r="K30" s="8" t="inlineStr">
        <is>
          <t>A FAZER</t>
        </is>
      </c>
      <c r="L30" s="8" t="inlineStr">
        <is>
          <t>—</t>
        </is>
      </c>
      <c r="M30" s="19" t="inlineStr">
        <is>
          <t>pendência aberta desde o cadastro do alfajor</t>
        </is>
      </c>
    </row>
    <row r="31">
      <c r="A31" s="8" t="n"/>
      <c r="B31" s="8" t="n"/>
      <c r="C31" s="8" t="n"/>
      <c r="D31" s="8" t="n"/>
      <c r="E31" s="8" t="n"/>
      <c r="F31" s="8" t="n"/>
      <c r="G31" s="40">
        <f>IF(OR(E31="",F31=""),"",E31*F31)</f>
        <v/>
      </c>
      <c r="H31" s="8" t="n"/>
      <c r="I31" s="40">
        <f>IF(H31="","",H31*1.67)</f>
        <v/>
      </c>
      <c r="J31" s="40">
        <f>N(G31)+N(I31)</f>
        <v/>
      </c>
      <c r="K31" s="8" t="n"/>
      <c r="L31" s="8" t="n"/>
      <c r="M31" s="8" t="n"/>
    </row>
    <row r="32">
      <c r="A32" s="8" t="n"/>
      <c r="B32" s="8" t="n"/>
      <c r="C32" s="8" t="n"/>
      <c r="D32" s="8" t="n"/>
      <c r="E32" s="8" t="n"/>
      <c r="F32" s="8" t="n"/>
      <c r="G32" s="40">
        <f>IF(OR(E32="",F32=""),"",E32*F32)</f>
        <v/>
      </c>
      <c r="H32" s="8" t="n"/>
      <c r="I32" s="40">
        <f>IF(H32="","",H32*1.67)</f>
        <v/>
      </c>
      <c r="J32" s="40">
        <f>N(G32)+N(I32)</f>
        <v/>
      </c>
      <c r="K32" s="8" t="n"/>
      <c r="L32" s="8" t="n"/>
      <c r="M32" s="8" t="n"/>
    </row>
    <row r="33">
      <c r="A33" s="8" t="n"/>
      <c r="B33" s="8" t="n"/>
      <c r="C33" s="8" t="n"/>
      <c r="D33" s="8" t="n"/>
      <c r="E33" s="8" t="n"/>
      <c r="F33" s="8" t="n"/>
      <c r="G33" s="40">
        <f>IF(OR(E33="",F33=""),"",E33*F33)</f>
        <v/>
      </c>
      <c r="H33" s="8" t="n"/>
      <c r="I33" s="40">
        <f>IF(H33="","",H33*1.67)</f>
        <v/>
      </c>
      <c r="J33" s="40">
        <f>N(G33)+N(I33)</f>
        <v/>
      </c>
      <c r="K33" s="8" t="n"/>
      <c r="L33" s="8" t="n"/>
      <c r="M33" s="8" t="n"/>
    </row>
    <row r="34">
      <c r="A34" s="8" t="n"/>
      <c r="B34" s="8" t="n"/>
      <c r="C34" s="8" t="n"/>
      <c r="D34" s="8" t="n"/>
      <c r="E34" s="8" t="n"/>
      <c r="F34" s="8" t="n"/>
      <c r="G34" s="40">
        <f>IF(OR(E34="",F34=""),"",E34*F34)</f>
        <v/>
      </c>
      <c r="H34" s="8" t="n"/>
      <c r="I34" s="40">
        <f>IF(H34="","",H34*1.67)</f>
        <v/>
      </c>
      <c r="J34" s="40">
        <f>N(G34)+N(I34)</f>
        <v/>
      </c>
      <c r="K34" s="8" t="n"/>
      <c r="L34" s="8" t="n"/>
      <c r="M34" s="8" t="n"/>
    </row>
    <row r="35">
      <c r="A35" s="8" t="n"/>
      <c r="B35" s="8" t="n"/>
      <c r="C35" s="8" t="n"/>
      <c r="D35" s="8" t="n"/>
      <c r="E35" s="8" t="n"/>
      <c r="F35" s="8" t="n"/>
      <c r="G35" s="40">
        <f>IF(OR(E35="",F35=""),"",E35*F35)</f>
        <v/>
      </c>
      <c r="H35" s="8" t="n"/>
      <c r="I35" s="40">
        <f>IF(H35="","",H35*1.67)</f>
        <v/>
      </c>
      <c r="J35" s="40">
        <f>N(G35)+N(I35)</f>
        <v/>
      </c>
      <c r="K35" s="8" t="n"/>
      <c r="L35" s="8" t="n"/>
      <c r="M35" s="8" t="n"/>
    </row>
    <row r="36">
      <c r="A36" s="8" t="n"/>
      <c r="B36" s="8" t="n"/>
      <c r="C36" s="8" t="n"/>
      <c r="D36" s="8" t="n"/>
      <c r="E36" s="8" t="n"/>
      <c r="F36" s="8" t="n"/>
      <c r="G36" s="40">
        <f>IF(OR(E36="",F36=""),"",E36*F36)</f>
        <v/>
      </c>
      <c r="H36" s="8" t="n"/>
      <c r="I36" s="40">
        <f>IF(H36="","",H36*1.67)</f>
        <v/>
      </c>
      <c r="J36" s="40">
        <f>N(G36)+N(I36)</f>
        <v/>
      </c>
      <c r="K36" s="8" t="n"/>
      <c r="L36" s="8" t="n"/>
      <c r="M36" s="8" t="n"/>
    </row>
    <row r="37">
      <c r="A37" s="8" t="n"/>
      <c r="B37" s="8" t="n"/>
      <c r="C37" s="8" t="n"/>
      <c r="D37" s="8" t="n"/>
      <c r="E37" s="8" t="n"/>
      <c r="F37" s="8" t="n"/>
      <c r="G37" s="40">
        <f>IF(OR(E37="",F37=""),"",E37*F37)</f>
        <v/>
      </c>
      <c r="H37" s="8" t="n"/>
      <c r="I37" s="40">
        <f>IF(H37="","",H37*1.67)</f>
        <v/>
      </c>
      <c r="J37" s="40">
        <f>N(G37)+N(I37)</f>
        <v/>
      </c>
      <c r="K37" s="8" t="n"/>
      <c r="L37" s="8" t="n"/>
      <c r="M37" s="8" t="n"/>
    </row>
    <row r="38">
      <c r="A38" s="8" t="n"/>
      <c r="B38" s="8" t="n"/>
      <c r="C38" s="8" t="n"/>
      <c r="D38" s="8" t="n"/>
      <c r="E38" s="8" t="n"/>
      <c r="F38" s="8" t="n"/>
      <c r="G38" s="40">
        <f>IF(OR(E38="",F38=""),"",E38*F38)</f>
        <v/>
      </c>
      <c r="H38" s="8" t="n"/>
      <c r="I38" s="40">
        <f>IF(H38="","",H38*1.67)</f>
        <v/>
      </c>
      <c r="J38" s="40">
        <f>N(G38)+N(I38)</f>
        <v/>
      </c>
      <c r="K38" s="8" t="n"/>
      <c r="L38" s="8" t="n"/>
      <c r="M38" s="8" t="n"/>
    </row>
    <row r="39">
      <c r="A39" s="8" t="n"/>
      <c r="B39" s="8" t="n"/>
      <c r="C39" s="8" t="n"/>
      <c r="D39" s="8" t="n"/>
      <c r="E39" s="8" t="n"/>
      <c r="F39" s="8" t="n"/>
      <c r="G39" s="40">
        <f>IF(OR(E39="",F39=""),"",E39*F39)</f>
        <v/>
      </c>
      <c r="H39" s="8" t="n"/>
      <c r="I39" s="40">
        <f>IF(H39="","",H39*1.67)</f>
        <v/>
      </c>
      <c r="J39" s="40">
        <f>N(G39)+N(I39)</f>
        <v/>
      </c>
      <c r="K39" s="8" t="n"/>
      <c r="L39" s="8" t="n"/>
      <c r="M39" s="8" t="n"/>
    </row>
    <row r="40">
      <c r="A40" s="8" t="n"/>
      <c r="B40" s="8" t="n"/>
      <c r="C40" s="8" t="n"/>
      <c r="D40" s="8" t="n"/>
      <c r="E40" s="8" t="n"/>
      <c r="F40" s="8" t="n"/>
      <c r="G40" s="40">
        <f>IF(OR(E40="",F40=""),"",E40*F40)</f>
        <v/>
      </c>
      <c r="H40" s="8" t="n"/>
      <c r="I40" s="40">
        <f>IF(H40="","",H40*1.67)</f>
        <v/>
      </c>
      <c r="J40" s="40">
        <f>N(G40)+N(I40)</f>
        <v/>
      </c>
      <c r="K40" s="8" t="n"/>
      <c r="L40" s="8" t="n"/>
      <c r="M40" s="8" t="n"/>
    </row>
    <row r="41">
      <c r="A41" s="8" t="n"/>
      <c r="B41" s="8" t="n"/>
      <c r="C41" s="8" t="n"/>
      <c r="D41" s="8" t="n"/>
      <c r="E41" s="8" t="n"/>
      <c r="F41" s="8" t="n"/>
      <c r="G41" s="40">
        <f>IF(OR(E41="",F41=""),"",E41*F41)</f>
        <v/>
      </c>
      <c r="H41" s="8" t="n"/>
      <c r="I41" s="40">
        <f>IF(H41="","",H41*1.67)</f>
        <v/>
      </c>
      <c r="J41" s="40">
        <f>N(G41)+N(I41)</f>
        <v/>
      </c>
      <c r="K41" s="8" t="n"/>
      <c r="L41" s="8" t="n"/>
      <c r="M41" s="8" t="n"/>
    </row>
    <row r="42">
      <c r="A42" s="8" t="n"/>
      <c r="B42" s="8" t="n"/>
      <c r="C42" s="8" t="n"/>
      <c r="D42" s="8" t="n"/>
      <c r="E42" s="8" t="n"/>
      <c r="F42" s="8" t="n"/>
      <c r="G42" s="40">
        <f>IF(OR(E42="",F42=""),"",E42*F42)</f>
        <v/>
      </c>
      <c r="H42" s="8" t="n"/>
      <c r="I42" s="40">
        <f>IF(H42="","",H42*1.67)</f>
        <v/>
      </c>
      <c r="J42" s="40">
        <f>N(G42)+N(I42)</f>
        <v/>
      </c>
      <c r="K42" s="8" t="n"/>
      <c r="L42" s="8" t="n"/>
      <c r="M42" s="8" t="n"/>
    </row>
    <row r="43">
      <c r="A43" s="8" t="n"/>
      <c r="B43" s="8" t="n"/>
      <c r="C43" s="8" t="n"/>
      <c r="D43" s="8" t="n"/>
      <c r="E43" s="8" t="n"/>
      <c r="F43" s="8" t="n"/>
      <c r="G43" s="40">
        <f>IF(OR(E43="",F43=""),"",E43*F43)</f>
        <v/>
      </c>
      <c r="H43" s="8" t="n"/>
      <c r="I43" s="40">
        <f>IF(H43="","",H43*1.67)</f>
        <v/>
      </c>
      <c r="J43" s="40">
        <f>N(G43)+N(I43)</f>
        <v/>
      </c>
      <c r="K43" s="8" t="n"/>
      <c r="L43" s="8" t="n"/>
      <c r="M43" s="8" t="n"/>
    </row>
    <row r="44">
      <c r="A44" s="8" t="n"/>
      <c r="B44" s="8" t="n"/>
      <c r="C44" s="8" t="n"/>
      <c r="D44" s="8" t="n"/>
      <c r="E44" s="8" t="n"/>
      <c r="F44" s="8" t="n"/>
      <c r="G44" s="40">
        <f>IF(OR(E44="",F44=""),"",E44*F44)</f>
        <v/>
      </c>
      <c r="H44" s="8" t="n"/>
      <c r="I44" s="40">
        <f>IF(H44="","",H44*1.67)</f>
        <v/>
      </c>
      <c r="J44" s="40">
        <f>N(G44)+N(I44)</f>
        <v/>
      </c>
      <c r="K44" s="8" t="n"/>
      <c r="L44" s="8" t="n"/>
      <c r="M44" s="8" t="n"/>
    </row>
    <row r="45">
      <c r="C45" s="14" t="inlineStr">
        <is>
          <t>TOTAL GASTO EM TESTE</t>
        </is>
      </c>
      <c r="J45" s="17">
        <f>SUM(J5:J44)</f>
        <v/>
      </c>
    </row>
    <row r="46">
      <c r="C46" s="41" t="inlineStr">
        <is>
          <t xml:space="preserve">   do qual virou venda (não foi perda)</t>
        </is>
      </c>
      <c r="J46" s="13">
        <f>SUMIF(L5:L44,"virou venda",J5:J44)</f>
        <v/>
      </c>
    </row>
    <row r="47">
      <c r="C47" s="42" t="inlineStr">
        <is>
          <t xml:space="preserve">   CUSTO LÍQUIDO DE TESTE (consumo + descarte)</t>
        </is>
      </c>
      <c r="J47" s="43">
        <f>J45-J46</f>
        <v/>
      </c>
    </row>
    <row r="50">
      <c r="A50" s="44" t="inlineStr">
        <is>
          <t>VERBA MENSAL DE TESTE</t>
        </is>
      </c>
    </row>
    <row r="51">
      <c r="A51" s="6" t="inlineStr">
        <is>
          <t>Dois jeitos de definir. Escolha um, preencha o amarelo e ignore o outro.</t>
        </is>
      </c>
    </row>
    <row r="53">
      <c r="A53" s="22" t="inlineStr">
        <is>
          <t>A — PERCENTUAL DO FATURAMENTO</t>
        </is>
      </c>
    </row>
    <row r="54">
      <c r="A54" s="45" t="inlineStr">
        <is>
          <t>Faturamento médio mensal (R$)</t>
        </is>
      </c>
      <c r="B54" s="12" t="n">
        <v>12879.1</v>
      </c>
      <c r="C54" s="6" t="inlineStr">
        <is>
          <t>pedidos 000001 a 000005 (R$ 10.370,60) + 000007 (R$ 2.508,50). O 000006 não tem valor no sistema.</t>
        </is>
      </c>
    </row>
    <row r="55">
      <c r="A55" s="45" t="inlineStr">
        <is>
          <t>% destinado a P&amp;D</t>
        </is>
      </c>
      <c r="B55" s="46" t="n">
        <v>0.04</v>
      </c>
      <c r="C55" s="6" t="inlineStr">
        <is>
          <t>3% é o patamar usual em alimentos; 5% se defende para quem ainda está montando portfólio. 4% é o meio.</t>
        </is>
      </c>
    </row>
    <row r="56">
      <c r="A56" s="45" t="inlineStr">
        <is>
          <t>VERBA DO MÊS</t>
        </is>
      </c>
      <c r="B56" s="47">
        <f>B54*B55</f>
        <v/>
      </c>
    </row>
    <row r="58">
      <c r="A58" s="22" t="inlineStr">
        <is>
          <t>B — DE BAIXO PARA CIMA, pelo que você realmente faz</t>
        </is>
      </c>
    </row>
    <row r="59">
      <c r="A59" s="45" t="inlineStr">
        <is>
          <t>Testes novos por mês</t>
        </is>
      </c>
      <c r="B59" s="8" t="n">
        <v>3</v>
      </c>
      <c r="C59" s="6" t="inlineStr">
        <is>
          <t>você tem 13 sabores em fila só na lista de 22/10</t>
        </is>
      </c>
    </row>
    <row r="60">
      <c r="A60" s="45" t="inlineStr">
        <is>
          <t>Calda por teste (kg)</t>
        </is>
      </c>
      <c r="B60" s="8" t="n">
        <v>1.5</v>
      </c>
      <c r="C60" s="6" t="inlineStr">
        <is>
          <t>seu volume de bancada tem sido 0,75 a 1,5 kg</t>
        </is>
      </c>
    </row>
    <row r="61">
      <c r="A61" s="45" t="inlineStr">
        <is>
          <t>Custo médio da calda (R$/kg)</t>
        </is>
      </c>
      <c r="B61" s="12" t="n">
        <v>37</v>
      </c>
      <c r="C61" s="6" t="inlineStr">
        <is>
          <t>média dos 16 testes que têm custo nesta aba</t>
        </is>
      </c>
    </row>
    <row r="62">
      <c r="A62" s="45" t="inlineStr">
        <is>
          <t>Fator de reteste</t>
        </is>
      </c>
      <c r="B62" s="8" t="n">
        <v>1.5</v>
      </c>
      <c r="C62" s="6" t="inlineStr">
        <is>
          <t>Latíssimo e Melagrana precisaram de segunda rodada — meio teste a mais, na média</t>
        </is>
      </c>
    </row>
    <row r="63">
      <c r="A63" s="45" t="inlineStr">
        <is>
          <t xml:space="preserve">   subtotal de calda</t>
        </is>
      </c>
      <c r="B63" s="47">
        <f>B59*B60*B61*B62</f>
        <v/>
      </c>
    </row>
    <row r="64">
      <c r="A64" s="45" t="inlineStr">
        <is>
          <t>Insumo ou pasta nova por mês (R$)</t>
        </is>
      </c>
      <c r="B64" s="12" t="n">
        <v>250</v>
      </c>
      <c r="C64" s="6" t="inlineStr">
        <is>
          <t>pasta nova é o que custa de verdade: pistache R$ 450/kg, baunilha R$ 1.380/kg</t>
        </is>
      </c>
    </row>
    <row r="65">
      <c r="A65" s="45" t="inlineStr">
        <is>
          <t>VERBA PELA CONTA DE BAIXO</t>
        </is>
      </c>
      <c r="B65" s="47">
        <f>B63+B64</f>
        <v/>
      </c>
    </row>
    <row r="67">
      <c r="A67" s="22" t="inlineStr">
        <is>
          <t>CONTROLE DO MÊS</t>
        </is>
      </c>
    </row>
    <row r="68">
      <c r="A68" s="45" t="inlineStr">
        <is>
          <t>Mês de referência</t>
        </is>
      </c>
      <c r="B68" s="8" t="inlineStr">
        <is>
          <t>out/2026</t>
        </is>
      </c>
    </row>
    <row r="69">
      <c r="A69" s="45" t="inlineStr">
        <is>
          <t>Verba escolhida (R$)</t>
        </is>
      </c>
      <c r="B69" s="12" t="n">
        <v>500</v>
      </c>
      <c r="C69" s="6" t="inlineStr">
        <is>
          <t>as duas contas batem na mesma faixa: 4% dá R$ 515, a conta de baixo dá R$ 500. Arredondei para 500.</t>
        </is>
      </c>
    </row>
    <row r="70">
      <c r="A70" s="45" t="inlineStr">
        <is>
          <t>Gasto no mês</t>
        </is>
      </c>
      <c r="B70" s="47">
        <f>SUMIF($B$5:$B$44,$B68,$J$5:$J$44)</f>
        <v/>
      </c>
    </row>
    <row r="71">
      <c r="A71" s="45" t="inlineStr">
        <is>
          <t>Saldo</t>
        </is>
      </c>
      <c r="B71" s="47">
        <f>IF(B69="","escolha a verba acima",B69-B70)</f>
        <v/>
      </c>
    </row>
    <row r="74" ht="26" customHeight="1">
      <c r="A74" s="35" t="inlineStr">
        <is>
          <t>Como ler o CUSTO LÍQUIDO: teste que foi aprovado e virou produto de venda não é despesa de P&amp;D — o insumo voltou como receita. O que sai do seu bolso é o que você comeu, deu de degustação ou jogou fora.</t>
        </is>
      </c>
    </row>
    <row r="75" ht="52" customHeight="1">
      <c r="A75" s="35" t="inlineStr">
        <is>
          <t>O que falta para esta aba virar controle de verdade: o volume de cada teste. Eu só tenho o que você declarou — 1,5 kg do pistache meia a meia, 750 g da base neutra, 1 kg do melagrana e 1 kg da canela. Os outros 22 estão com o quilo em branco porque chutar ali estragaria exatamente a média que você quer usar para fixar a verba. Preencha a coluna CALDA (kg) de cor amarela e o custo aparece sozinho.</t>
        </is>
      </c>
    </row>
    <row r="76" ht="39" customHeight="1">
      <c r="A76" s="35" t="inlineStr">
        <is>
          <t>SEIS INSUMOS SEM PREÇO TRAVAM CINCO TESTES: Pasta Gusto Pop-Corn MEC3 (pipoca), Siriguela polpa, Goiaba, Pasta de Avelã 100%, Iogurte integral e Baunilha Vanilla Brasil. Enquanto não tiverem preço no cadastro, o custo desses testes não fecha — nem aqui nem no CMV se algum virar produto.</t>
        </is>
      </c>
    </row>
    <row r="77" ht="26" customHeight="1">
      <c r="A77" s="35" t="inlineStr">
        <is>
          <t>Daqui para frente: toda vez que bater uma calda que não vai para venda, lance a linha aqui com os kg. Em dois meses a verba se define sozinha com o número real, em vez de benchmark.</t>
        </is>
      </c>
    </row>
  </sheetData>
  <dataValidations count="2">
    <dataValidation sqref="K5:K44" showDropDown="0" showInputMessage="0" showErrorMessage="0" allowBlank="1" type="list">
      <formula1>"APROVADO,REPROVADO,PENDENTE,A FAZER"</formula1>
    </dataValidation>
    <dataValidation sqref="L5:L44" showDropDown="0" showInputMessage="0" showErrorMessage="0" allowBlank="1" type="list">
      <formula1>"consumo próprio,degustação,descarte,virou venda,—"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2" customWidth="1" min="4" max="4"/>
    <col width="24" customWidth="1" min="5" max="5"/>
    <col width="40" customWidth="1" min="6" max="6"/>
  </cols>
  <sheetData>
    <row r="1">
      <c r="A1" s="5" t="inlineStr">
        <is>
          <t>MOVIMENTO DE POTES PRONTOS</t>
        </is>
      </c>
    </row>
    <row r="2">
      <c r="A2" s="6" t="inlineStr">
        <is>
          <t>Uma linha por producao e uma linha por venda, com data a partir de 22/10/2026. Esta aba alimenta POTES PRONTOS automaticamente.</t>
        </is>
      </c>
    </row>
    <row r="4" ht="30" customHeight="1">
      <c r="A4" s="9" t="inlineStr">
        <is>
          <t>DATA</t>
        </is>
      </c>
      <c r="B4" s="9" t="inlineStr">
        <is>
          <t>TIPO</t>
        </is>
      </c>
      <c r="C4" s="9" t="inlineStr">
        <is>
          <t>SABOR</t>
        </is>
      </c>
      <c r="D4" s="9" t="inlineStr">
        <is>
          <t>POTES</t>
        </is>
      </c>
      <c r="E4" s="9" t="inlineStr">
        <is>
          <t>CLIENTE / PEDIDO</t>
        </is>
      </c>
      <c r="F4" s="9" t="inlineStr">
        <is>
          <t>OBS</t>
        </is>
      </c>
    </row>
    <row r="5">
      <c r="A5" s="8" t="inlineStr">
        <is>
          <t>16/10/2026</t>
        </is>
      </c>
      <c r="B5" s="8" t="inlineStr">
        <is>
          <t>HISTORICO</t>
        </is>
      </c>
      <c r="C5" s="8" t="inlineStr">
        <is>
          <t>Brigadeiro Proteico</t>
        </is>
      </c>
      <c r="D5" s="29" t="n">
        <v>20</v>
      </c>
      <c r="E5" s="8" t="inlineStr">
        <is>
          <t>Pedido 000007 — O BECO</t>
        </is>
      </c>
      <c r="F5" s="8" t="inlineStr">
        <is>
          <t>anterior à contagem de 22/10 — não entra no saldo</t>
        </is>
      </c>
    </row>
    <row r="6">
      <c r="A6" s="8" t="inlineStr">
        <is>
          <t>16/10/2026</t>
        </is>
      </c>
      <c r="B6" s="8" t="inlineStr">
        <is>
          <t>HISTORICO</t>
        </is>
      </c>
      <c r="C6" s="8" t="inlineStr">
        <is>
          <t>Café Proteico</t>
        </is>
      </c>
      <c r="D6" s="29" t="n">
        <v>15</v>
      </c>
      <c r="E6" s="8" t="inlineStr">
        <is>
          <t>Pedido 000007 — O BECO</t>
        </is>
      </c>
      <c r="F6" s="8" t="inlineStr">
        <is>
          <t>anterior à contagem de 22/10 — não entra no saldo</t>
        </is>
      </c>
    </row>
    <row r="7">
      <c r="A7" s="8" t="inlineStr">
        <is>
          <t>16/10/2026</t>
        </is>
      </c>
      <c r="B7" s="8" t="inlineStr">
        <is>
          <t>HISTORICO</t>
        </is>
      </c>
      <c r="C7" s="8" t="inlineStr">
        <is>
          <t>Manga com Maracujá</t>
        </is>
      </c>
      <c r="D7" s="29" t="n">
        <v>15</v>
      </c>
      <c r="E7" s="8" t="inlineStr">
        <is>
          <t>Pedido 000007 — O BECO</t>
        </is>
      </c>
      <c r="F7" s="8" t="inlineStr">
        <is>
          <t>anterior à contagem de 22/10 — não entra no saldo</t>
        </is>
      </c>
    </row>
    <row r="8">
      <c r="A8" s="8" t="inlineStr">
        <is>
          <t>16/10/2026</t>
        </is>
      </c>
      <c r="B8" s="8" t="inlineStr">
        <is>
          <t>HISTORICO</t>
        </is>
      </c>
      <c r="C8" s="8" t="inlineStr">
        <is>
          <t>Pistache</t>
        </is>
      </c>
      <c r="D8" s="29" t="n">
        <v>20</v>
      </c>
      <c r="E8" s="8" t="inlineStr">
        <is>
          <t>Pedido 000007 — O BECO</t>
        </is>
      </c>
      <c r="F8" s="8" t="inlineStr">
        <is>
          <t>anterior à contagem de 22/10 — não entra no saldo</t>
        </is>
      </c>
    </row>
    <row r="9">
      <c r="A9" s="8" t="inlineStr">
        <is>
          <t>16/10/2026</t>
        </is>
      </c>
      <c r="B9" s="8" t="inlineStr">
        <is>
          <t>HISTORICO</t>
        </is>
      </c>
      <c r="C9" s="8" t="inlineStr">
        <is>
          <t>Torta de Limão</t>
        </is>
      </c>
      <c r="D9" s="29" t="n">
        <v>20</v>
      </c>
      <c r="E9" s="8" t="inlineStr">
        <is>
          <t>Pedido 000007 — O BECO</t>
        </is>
      </c>
      <c r="F9" s="8" t="inlineStr">
        <is>
          <t>anterior à contagem de 22/10 — não entra no saldo</t>
        </is>
      </c>
    </row>
    <row r="10">
      <c r="A10" s="8" t="inlineStr">
        <is>
          <t>16/10/2026</t>
        </is>
      </c>
      <c r="B10" s="8" t="inlineStr">
        <is>
          <t>HISTORICO</t>
        </is>
      </c>
      <c r="C10" s="8" t="inlineStr">
        <is>
          <t>Sorbet Morango</t>
        </is>
      </c>
      <c r="D10" s="29" t="n">
        <v>15</v>
      </c>
      <c r="E10" s="8" t="inlineStr">
        <is>
          <t>Pedido 000007 — O BECO</t>
        </is>
      </c>
      <c r="F10" s="8" t="inlineStr">
        <is>
          <t>anterior à contagem de 22/10 — não entra no saldo</t>
        </is>
      </c>
    </row>
    <row r="11">
      <c r="A11" s="8" t="inlineStr">
        <is>
          <t>16/10/2026</t>
        </is>
      </c>
      <c r="B11" s="8" t="inlineStr">
        <is>
          <t>HISTORICO</t>
        </is>
      </c>
      <c r="C11" s="8" t="inlineStr">
        <is>
          <t>Alfajor</t>
        </is>
      </c>
      <c r="D11" s="29" t="n">
        <v>20</v>
      </c>
      <c r="E11" s="8" t="inlineStr">
        <is>
          <t>Pedido 000007 — O BECO</t>
        </is>
      </c>
      <c r="F11" s="8" t="inlineStr">
        <is>
          <t>anterior à contagem de 22/10 — não entra no saldo</t>
        </is>
      </c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  <row r="39">
      <c r="A39" s="8" t="n"/>
      <c r="B39" s="8" t="n"/>
      <c r="C39" s="8" t="n"/>
      <c r="D39" s="8" t="n"/>
      <c r="E39" s="8" t="n"/>
      <c r="F39" s="8" t="n"/>
    </row>
    <row r="40">
      <c r="A40" s="8" t="n"/>
      <c r="B40" s="8" t="n"/>
      <c r="C40" s="8" t="n"/>
      <c r="D40" s="8" t="n"/>
      <c r="E40" s="8" t="n"/>
      <c r="F40" s="8" t="n"/>
    </row>
    <row r="41">
      <c r="A41" s="8" t="n"/>
      <c r="B41" s="8" t="n"/>
      <c r="C41" s="8" t="n"/>
      <c r="D41" s="8" t="n"/>
      <c r="E41" s="8" t="n"/>
      <c r="F41" s="8" t="n"/>
    </row>
    <row r="42">
      <c r="A42" s="8" t="n"/>
      <c r="B42" s="8" t="n"/>
      <c r="C42" s="8" t="n"/>
      <c r="D42" s="8" t="n"/>
      <c r="E42" s="8" t="n"/>
      <c r="F42" s="8" t="n"/>
    </row>
    <row r="43">
      <c r="A43" s="8" t="n"/>
      <c r="B43" s="8" t="n"/>
      <c r="C43" s="8" t="n"/>
      <c r="D43" s="8" t="n"/>
      <c r="E43" s="8" t="n"/>
      <c r="F43" s="8" t="n"/>
    </row>
    <row r="44">
      <c r="A44" s="8" t="n"/>
      <c r="B44" s="8" t="n"/>
      <c r="C44" s="8" t="n"/>
      <c r="D44" s="8" t="n"/>
      <c r="E44" s="8" t="n"/>
      <c r="F44" s="8" t="n"/>
    </row>
    <row r="45">
      <c r="A45" s="8" t="n"/>
      <c r="B45" s="8" t="n"/>
      <c r="C45" s="8" t="n"/>
      <c r="D45" s="8" t="n"/>
      <c r="E45" s="8" t="n"/>
      <c r="F45" s="8" t="n"/>
    </row>
    <row r="46">
      <c r="A46" s="8" t="n"/>
      <c r="B46" s="8" t="n"/>
      <c r="C46" s="8" t="n"/>
      <c r="D46" s="8" t="n"/>
      <c r="E46" s="8" t="n"/>
      <c r="F46" s="8" t="n"/>
    </row>
    <row r="47">
      <c r="A47" s="8" t="n"/>
      <c r="B47" s="8" t="n"/>
      <c r="C47" s="8" t="n"/>
      <c r="D47" s="8" t="n"/>
      <c r="E47" s="8" t="n"/>
      <c r="F47" s="8" t="n"/>
    </row>
    <row r="48">
      <c r="A48" s="8" t="n"/>
      <c r="B48" s="8" t="n"/>
      <c r="C48" s="8" t="n"/>
      <c r="D48" s="8" t="n"/>
      <c r="E48" s="8" t="n"/>
      <c r="F48" s="8" t="n"/>
    </row>
    <row r="49">
      <c r="A49" s="8" t="n"/>
      <c r="B49" s="8" t="n"/>
      <c r="C49" s="8" t="n"/>
      <c r="D49" s="8" t="n"/>
      <c r="E49" s="8" t="n"/>
      <c r="F49" s="8" t="n"/>
    </row>
    <row r="50">
      <c r="A50" s="8" t="n"/>
      <c r="B50" s="8" t="n"/>
      <c r="C50" s="8" t="n"/>
      <c r="D50" s="8" t="n"/>
      <c r="E50" s="8" t="n"/>
      <c r="F50" s="8" t="n"/>
    </row>
    <row r="51">
      <c r="A51" s="8" t="n"/>
      <c r="B51" s="8" t="n"/>
      <c r="C51" s="8" t="n"/>
      <c r="D51" s="8" t="n"/>
      <c r="E51" s="8" t="n"/>
      <c r="F51" s="8" t="n"/>
    </row>
    <row r="52">
      <c r="A52" s="8" t="n"/>
      <c r="B52" s="8" t="n"/>
      <c r="C52" s="8" t="n"/>
      <c r="D52" s="8" t="n"/>
      <c r="E52" s="8" t="n"/>
      <c r="F52" s="8" t="n"/>
    </row>
    <row r="53">
      <c r="A53" s="8" t="n"/>
      <c r="B53" s="8" t="n"/>
      <c r="C53" s="8" t="n"/>
      <c r="D53" s="8" t="n"/>
      <c r="E53" s="8" t="n"/>
      <c r="F53" s="8" t="n"/>
    </row>
    <row r="54">
      <c r="A54" s="8" t="n"/>
      <c r="B54" s="8" t="n"/>
      <c r="C54" s="8" t="n"/>
      <c r="D54" s="8" t="n"/>
      <c r="E54" s="8" t="n"/>
      <c r="F54" s="8" t="n"/>
    </row>
    <row r="55">
      <c r="A55" s="8" t="n"/>
      <c r="B55" s="8" t="n"/>
      <c r="C55" s="8" t="n"/>
      <c r="D55" s="8" t="n"/>
      <c r="E55" s="8" t="n"/>
      <c r="F55" s="8" t="n"/>
    </row>
    <row r="56">
      <c r="A56" s="8" t="n"/>
      <c r="B56" s="8" t="n"/>
      <c r="C56" s="8" t="n"/>
      <c r="D56" s="8" t="n"/>
      <c r="E56" s="8" t="n"/>
      <c r="F56" s="8" t="n"/>
    </row>
    <row r="57">
      <c r="A57" s="8" t="n"/>
      <c r="B57" s="8" t="n"/>
      <c r="C57" s="8" t="n"/>
      <c r="D57" s="8" t="n"/>
      <c r="E57" s="8" t="n"/>
      <c r="F57" s="8" t="n"/>
    </row>
    <row r="58">
      <c r="A58" s="8" t="n"/>
      <c r="B58" s="8" t="n"/>
      <c r="C58" s="8" t="n"/>
      <c r="D58" s="8" t="n"/>
      <c r="E58" s="8" t="n"/>
      <c r="F58" s="8" t="n"/>
    </row>
    <row r="59">
      <c r="A59" s="8" t="n"/>
      <c r="B59" s="8" t="n"/>
      <c r="C59" s="8" t="n"/>
      <c r="D59" s="8" t="n"/>
      <c r="E59" s="8" t="n"/>
      <c r="F59" s="8" t="n"/>
    </row>
    <row r="60">
      <c r="A60" s="8" t="n"/>
      <c r="B60" s="8" t="n"/>
      <c r="C60" s="8" t="n"/>
      <c r="D60" s="8" t="n"/>
      <c r="E60" s="8" t="n"/>
      <c r="F60" s="8" t="n"/>
    </row>
    <row r="61">
      <c r="A61" s="8" t="n"/>
      <c r="B61" s="8" t="n"/>
      <c r="C61" s="8" t="n"/>
      <c r="D61" s="8" t="n"/>
      <c r="E61" s="8" t="n"/>
      <c r="F61" s="8" t="n"/>
    </row>
    <row r="62">
      <c r="A62" s="8" t="n"/>
      <c r="B62" s="8" t="n"/>
      <c r="C62" s="8" t="n"/>
      <c r="D62" s="8" t="n"/>
      <c r="E62" s="8" t="n"/>
      <c r="F62" s="8" t="n"/>
    </row>
    <row r="63">
      <c r="A63" s="8" t="n"/>
      <c r="B63" s="8" t="n"/>
      <c r="C63" s="8" t="n"/>
      <c r="D63" s="8" t="n"/>
      <c r="E63" s="8" t="n"/>
      <c r="F63" s="8" t="n"/>
    </row>
    <row r="64">
      <c r="A64" s="8" t="n"/>
      <c r="B64" s="8" t="n"/>
      <c r="C64" s="8" t="n"/>
      <c r="D64" s="8" t="n"/>
      <c r="E64" s="8" t="n"/>
      <c r="F64" s="8" t="n"/>
    </row>
    <row r="65">
      <c r="A65" s="8" t="n"/>
      <c r="B65" s="8" t="n"/>
      <c r="C65" s="8" t="n"/>
      <c r="D65" s="8" t="n"/>
      <c r="E65" s="8" t="n"/>
      <c r="F65" s="8" t="n"/>
    </row>
    <row r="66">
      <c r="A66" s="8" t="n"/>
      <c r="B66" s="8" t="n"/>
      <c r="C66" s="8" t="n"/>
      <c r="D66" s="8" t="n"/>
      <c r="E66" s="8" t="n"/>
      <c r="F66" s="8" t="n"/>
    </row>
    <row r="67">
      <c r="A67" s="8" t="n"/>
      <c r="B67" s="8" t="n"/>
      <c r="C67" s="8" t="n"/>
      <c r="D67" s="8" t="n"/>
      <c r="E67" s="8" t="n"/>
      <c r="F67" s="8" t="n"/>
    </row>
    <row r="68">
      <c r="A68" s="8" t="n"/>
      <c r="B68" s="8" t="n"/>
      <c r="C68" s="8" t="n"/>
      <c r="D68" s="8" t="n"/>
      <c r="E68" s="8" t="n"/>
      <c r="F68" s="8" t="n"/>
    </row>
    <row r="69">
      <c r="A69" s="8" t="n"/>
      <c r="B69" s="8" t="n"/>
      <c r="C69" s="8" t="n"/>
      <c r="D69" s="8" t="n"/>
      <c r="E69" s="8" t="n"/>
      <c r="F69" s="8" t="n"/>
    </row>
    <row r="70">
      <c r="A70" s="8" t="n"/>
      <c r="B70" s="8" t="n"/>
      <c r="C70" s="8" t="n"/>
      <c r="D70" s="8" t="n"/>
      <c r="E70" s="8" t="n"/>
      <c r="F70" s="8" t="n"/>
    </row>
    <row r="71">
      <c r="A71" s="8" t="n"/>
      <c r="B71" s="8" t="n"/>
      <c r="C71" s="8" t="n"/>
      <c r="D71" s="8" t="n"/>
      <c r="E71" s="8" t="n"/>
      <c r="F71" s="8" t="n"/>
    </row>
    <row r="72">
      <c r="A72" s="8" t="n"/>
      <c r="B72" s="8" t="n"/>
      <c r="C72" s="8" t="n"/>
      <c r="D72" s="8" t="n"/>
      <c r="E72" s="8" t="n"/>
      <c r="F72" s="8" t="n"/>
    </row>
    <row r="73">
      <c r="A73" s="8" t="n"/>
      <c r="B73" s="8" t="n"/>
      <c r="C73" s="8" t="n"/>
      <c r="D73" s="8" t="n"/>
      <c r="E73" s="8" t="n"/>
      <c r="F73" s="8" t="n"/>
    </row>
    <row r="74">
      <c r="A74" s="8" t="n"/>
      <c r="B74" s="8" t="n"/>
      <c r="C74" s="8" t="n"/>
      <c r="D74" s="8" t="n"/>
      <c r="E74" s="8" t="n"/>
      <c r="F74" s="8" t="n"/>
    </row>
    <row r="75">
      <c r="A75" s="8" t="n"/>
      <c r="B75" s="8" t="n"/>
      <c r="C75" s="8" t="n"/>
      <c r="D75" s="8" t="n"/>
      <c r="E75" s="8" t="n"/>
      <c r="F75" s="8" t="n"/>
    </row>
    <row r="76">
      <c r="A76" s="8" t="n"/>
      <c r="B76" s="8" t="n"/>
      <c r="C76" s="8" t="n"/>
      <c r="D76" s="8" t="n"/>
      <c r="E76" s="8" t="n"/>
      <c r="F76" s="8" t="n"/>
    </row>
    <row r="77">
      <c r="A77" s="8" t="n"/>
      <c r="B77" s="8" t="n"/>
      <c r="C77" s="8" t="n"/>
      <c r="D77" s="8" t="n"/>
      <c r="E77" s="8" t="n"/>
      <c r="F77" s="8" t="n"/>
    </row>
    <row r="78">
      <c r="A78" s="8" t="n"/>
      <c r="B78" s="8" t="n"/>
      <c r="C78" s="8" t="n"/>
      <c r="D78" s="8" t="n"/>
      <c r="E78" s="8" t="n"/>
      <c r="F78" s="8" t="n"/>
    </row>
    <row r="79">
      <c r="A79" s="8" t="n"/>
      <c r="B79" s="8" t="n"/>
      <c r="C79" s="8" t="n"/>
      <c r="D79" s="8" t="n"/>
      <c r="E79" s="8" t="n"/>
      <c r="F79" s="8" t="n"/>
    </row>
    <row r="80">
      <c r="A80" s="8" t="n"/>
      <c r="B80" s="8" t="n"/>
      <c r="C80" s="8" t="n"/>
      <c r="D80" s="8" t="n"/>
      <c r="E80" s="8" t="n"/>
      <c r="F80" s="8" t="n"/>
    </row>
    <row r="81">
      <c r="A81" s="8" t="n"/>
      <c r="B81" s="8" t="n"/>
      <c r="C81" s="8" t="n"/>
      <c r="D81" s="8" t="n"/>
      <c r="E81" s="8" t="n"/>
      <c r="F81" s="8" t="n"/>
    </row>
    <row r="82">
      <c r="A82" s="8" t="n"/>
      <c r="B82" s="8" t="n"/>
      <c r="C82" s="8" t="n"/>
      <c r="D82" s="8" t="n"/>
      <c r="E82" s="8" t="n"/>
      <c r="F82" s="8" t="n"/>
    </row>
    <row r="83">
      <c r="A83" s="8" t="n"/>
      <c r="B83" s="8" t="n"/>
      <c r="C83" s="8" t="n"/>
      <c r="D83" s="8" t="n"/>
      <c r="E83" s="8" t="n"/>
      <c r="F83" s="8" t="n"/>
    </row>
    <row r="84">
      <c r="A84" s="8" t="n"/>
      <c r="B84" s="8" t="n"/>
      <c r="C84" s="8" t="n"/>
      <c r="D84" s="8" t="n"/>
      <c r="E84" s="8" t="n"/>
      <c r="F84" s="8" t="n"/>
    </row>
    <row r="85">
      <c r="A85" s="8" t="n"/>
      <c r="B85" s="8" t="n"/>
      <c r="C85" s="8" t="n"/>
      <c r="D85" s="8" t="n"/>
      <c r="E85" s="8" t="n"/>
      <c r="F85" s="8" t="n"/>
    </row>
    <row r="86">
      <c r="A86" s="8" t="n"/>
      <c r="B86" s="8" t="n"/>
      <c r="C86" s="8" t="n"/>
      <c r="D86" s="8" t="n"/>
      <c r="E86" s="8" t="n"/>
      <c r="F86" s="8" t="n"/>
    </row>
    <row r="87">
      <c r="A87" s="8" t="n"/>
      <c r="B87" s="8" t="n"/>
      <c r="C87" s="8" t="n"/>
      <c r="D87" s="8" t="n"/>
      <c r="E87" s="8" t="n"/>
      <c r="F87" s="8" t="n"/>
    </row>
    <row r="88">
      <c r="A88" s="8" t="n"/>
      <c r="B88" s="8" t="n"/>
      <c r="C88" s="8" t="n"/>
      <c r="D88" s="8" t="n"/>
      <c r="E88" s="8" t="n"/>
      <c r="F88" s="8" t="n"/>
    </row>
    <row r="89">
      <c r="A89" s="8" t="n"/>
      <c r="B89" s="8" t="n"/>
      <c r="C89" s="8" t="n"/>
      <c r="D89" s="8" t="n"/>
      <c r="E89" s="8" t="n"/>
      <c r="F89" s="8" t="n"/>
    </row>
    <row r="90">
      <c r="A90" s="8" t="n"/>
      <c r="B90" s="8" t="n"/>
      <c r="C90" s="8" t="n"/>
      <c r="D90" s="8" t="n"/>
      <c r="E90" s="8" t="n"/>
      <c r="F90" s="8" t="n"/>
    </row>
    <row r="91">
      <c r="A91" s="8" t="n"/>
      <c r="B91" s="8" t="n"/>
      <c r="C91" s="8" t="n"/>
      <c r="D91" s="8" t="n"/>
      <c r="E91" s="8" t="n"/>
      <c r="F91" s="8" t="n"/>
    </row>
    <row r="92">
      <c r="A92" s="8" t="n"/>
      <c r="B92" s="8" t="n"/>
      <c r="C92" s="8" t="n"/>
      <c r="D92" s="8" t="n"/>
      <c r="E92" s="8" t="n"/>
      <c r="F92" s="8" t="n"/>
    </row>
    <row r="93">
      <c r="A93" s="8" t="n"/>
      <c r="B93" s="8" t="n"/>
      <c r="C93" s="8" t="n"/>
      <c r="D93" s="8" t="n"/>
      <c r="E93" s="8" t="n"/>
      <c r="F93" s="8" t="n"/>
    </row>
    <row r="94">
      <c r="A94" s="8" t="n"/>
      <c r="B94" s="8" t="n"/>
      <c r="C94" s="8" t="n"/>
      <c r="D94" s="8" t="n"/>
      <c r="E94" s="8" t="n"/>
      <c r="F94" s="8" t="n"/>
    </row>
    <row r="95">
      <c r="A95" s="8" t="n"/>
      <c r="B95" s="8" t="n"/>
      <c r="C95" s="8" t="n"/>
      <c r="D95" s="8" t="n"/>
      <c r="E95" s="8" t="n"/>
      <c r="F95" s="8" t="n"/>
    </row>
    <row r="96">
      <c r="A96" s="8" t="n"/>
      <c r="B96" s="8" t="n"/>
      <c r="C96" s="8" t="n"/>
      <c r="D96" s="8" t="n"/>
      <c r="E96" s="8" t="n"/>
      <c r="F96" s="8" t="n"/>
    </row>
    <row r="97">
      <c r="A97" s="8" t="n"/>
      <c r="B97" s="8" t="n"/>
      <c r="C97" s="8" t="n"/>
      <c r="D97" s="8" t="n"/>
      <c r="E97" s="8" t="n"/>
      <c r="F97" s="8" t="n"/>
    </row>
    <row r="98">
      <c r="A98" s="8" t="n"/>
      <c r="B98" s="8" t="n"/>
      <c r="C98" s="8" t="n"/>
      <c r="D98" s="8" t="n"/>
      <c r="E98" s="8" t="n"/>
      <c r="F98" s="8" t="n"/>
    </row>
    <row r="99">
      <c r="A99" s="8" t="n"/>
      <c r="B99" s="8" t="n"/>
      <c r="C99" s="8" t="n"/>
      <c r="D99" s="8" t="n"/>
      <c r="E99" s="8" t="n"/>
      <c r="F99" s="8" t="n"/>
    </row>
    <row r="100">
      <c r="A100" s="8" t="n"/>
      <c r="B100" s="8" t="n"/>
      <c r="C100" s="8" t="n"/>
      <c r="D100" s="8" t="n"/>
      <c r="E100" s="8" t="n"/>
      <c r="F100" s="8" t="n"/>
    </row>
    <row r="101">
      <c r="A101" s="8" t="n"/>
      <c r="B101" s="8" t="n"/>
      <c r="C101" s="8" t="n"/>
      <c r="D101" s="8" t="n"/>
      <c r="E101" s="8" t="n"/>
      <c r="F101" s="8" t="n"/>
    </row>
    <row r="102">
      <c r="A102" s="8" t="n"/>
      <c r="B102" s="8" t="n"/>
      <c r="C102" s="8" t="n"/>
      <c r="D102" s="8" t="n"/>
      <c r="E102" s="8" t="n"/>
      <c r="F102" s="8" t="n"/>
    </row>
    <row r="103">
      <c r="A103" s="8" t="n"/>
      <c r="B103" s="8" t="n"/>
      <c r="C103" s="8" t="n"/>
      <c r="D103" s="8" t="n"/>
      <c r="E103" s="8" t="n"/>
      <c r="F103" s="8" t="n"/>
    </row>
    <row r="104">
      <c r="A104" s="8" t="n"/>
      <c r="B104" s="8" t="n"/>
      <c r="C104" s="8" t="n"/>
      <c r="D104" s="8" t="n"/>
      <c r="E104" s="8" t="n"/>
      <c r="F104" s="8" t="n"/>
    </row>
    <row r="105">
      <c r="A105" s="8" t="n"/>
      <c r="B105" s="8" t="n"/>
      <c r="C105" s="8" t="n"/>
      <c r="D105" s="8" t="n"/>
      <c r="E105" s="8" t="n"/>
      <c r="F105" s="8" t="n"/>
    </row>
    <row r="106">
      <c r="A106" s="8" t="n"/>
      <c r="B106" s="8" t="n"/>
      <c r="C106" s="8" t="n"/>
      <c r="D106" s="8" t="n"/>
      <c r="E106" s="8" t="n"/>
      <c r="F106" s="8" t="n"/>
    </row>
    <row r="107">
      <c r="A107" s="8" t="n"/>
      <c r="B107" s="8" t="n"/>
      <c r="C107" s="8" t="n"/>
      <c r="D107" s="8" t="n"/>
      <c r="E107" s="8" t="n"/>
      <c r="F107" s="8" t="n"/>
    </row>
    <row r="108">
      <c r="A108" s="8" t="n"/>
      <c r="B108" s="8" t="n"/>
      <c r="C108" s="8" t="n"/>
      <c r="D108" s="8" t="n"/>
      <c r="E108" s="8" t="n"/>
      <c r="F108" s="8" t="n"/>
    </row>
    <row r="109">
      <c r="A109" s="8" t="n"/>
      <c r="B109" s="8" t="n"/>
      <c r="C109" s="8" t="n"/>
      <c r="D109" s="8" t="n"/>
      <c r="E109" s="8" t="n"/>
      <c r="F109" s="8" t="n"/>
    </row>
    <row r="110">
      <c r="A110" s="8" t="n"/>
      <c r="B110" s="8" t="n"/>
      <c r="C110" s="8" t="n"/>
      <c r="D110" s="8" t="n"/>
      <c r="E110" s="8" t="n"/>
      <c r="F110" s="8" t="n"/>
    </row>
    <row r="111">
      <c r="A111" s="8" t="n"/>
      <c r="B111" s="8" t="n"/>
      <c r="C111" s="8" t="n"/>
      <c r="D111" s="8" t="n"/>
      <c r="E111" s="8" t="n"/>
      <c r="F111" s="8" t="n"/>
    </row>
    <row r="112">
      <c r="A112" s="8" t="n"/>
      <c r="B112" s="8" t="n"/>
      <c r="C112" s="8" t="n"/>
      <c r="D112" s="8" t="n"/>
      <c r="E112" s="8" t="n"/>
      <c r="F112" s="8" t="n"/>
    </row>
    <row r="113">
      <c r="A113" s="8" t="n"/>
      <c r="B113" s="8" t="n"/>
      <c r="C113" s="8" t="n"/>
      <c r="D113" s="8" t="n"/>
      <c r="E113" s="8" t="n"/>
      <c r="F113" s="8" t="n"/>
    </row>
    <row r="114">
      <c r="A114" s="8" t="n"/>
      <c r="B114" s="8" t="n"/>
      <c r="C114" s="8" t="n"/>
      <c r="D114" s="8" t="n"/>
      <c r="E114" s="8" t="n"/>
      <c r="F114" s="8" t="n"/>
    </row>
    <row r="115">
      <c r="A115" s="8" t="n"/>
      <c r="B115" s="8" t="n"/>
      <c r="C115" s="8" t="n"/>
      <c r="D115" s="8" t="n"/>
      <c r="E115" s="8" t="n"/>
      <c r="F115" s="8" t="n"/>
    </row>
    <row r="116">
      <c r="A116" s="8" t="n"/>
      <c r="B116" s="8" t="n"/>
      <c r="C116" s="8" t="n"/>
      <c r="D116" s="8" t="n"/>
      <c r="E116" s="8" t="n"/>
      <c r="F116" s="8" t="n"/>
    </row>
    <row r="117">
      <c r="A117" s="8" t="n"/>
      <c r="B117" s="8" t="n"/>
      <c r="C117" s="8" t="n"/>
      <c r="D117" s="8" t="n"/>
      <c r="E117" s="8" t="n"/>
      <c r="F117" s="8" t="n"/>
    </row>
    <row r="118">
      <c r="A118" s="8" t="n"/>
      <c r="B118" s="8" t="n"/>
      <c r="C118" s="8" t="n"/>
      <c r="D118" s="8" t="n"/>
      <c r="E118" s="8" t="n"/>
      <c r="F118" s="8" t="n"/>
    </row>
    <row r="119">
      <c r="A119" s="8" t="n"/>
      <c r="B119" s="8" t="n"/>
      <c r="C119" s="8" t="n"/>
      <c r="D119" s="8" t="n"/>
      <c r="E119" s="8" t="n"/>
      <c r="F119" s="8" t="n"/>
    </row>
    <row r="120">
      <c r="A120" s="8" t="n"/>
      <c r="B120" s="8" t="n"/>
      <c r="C120" s="8" t="n"/>
      <c r="D120" s="8" t="n"/>
      <c r="E120" s="8" t="n"/>
      <c r="F120" s="8" t="n"/>
    </row>
    <row r="121">
      <c r="A121" s="8" t="n"/>
      <c r="B121" s="8" t="n"/>
      <c r="C121" s="8" t="n"/>
      <c r="D121" s="8" t="n"/>
      <c r="E121" s="8" t="n"/>
      <c r="F121" s="8" t="n"/>
    </row>
    <row r="122">
      <c r="A122" s="8" t="n"/>
      <c r="B122" s="8" t="n"/>
      <c r="C122" s="8" t="n"/>
      <c r="D122" s="8" t="n"/>
      <c r="E122" s="8" t="n"/>
      <c r="F122" s="8" t="n"/>
    </row>
    <row r="123">
      <c r="A123" s="8" t="n"/>
      <c r="B123" s="8" t="n"/>
      <c r="C123" s="8" t="n"/>
      <c r="D123" s="8" t="n"/>
      <c r="E123" s="8" t="n"/>
      <c r="F123" s="8" t="n"/>
    </row>
    <row r="124">
      <c r="A124" s="8" t="n"/>
      <c r="B124" s="8" t="n"/>
      <c r="C124" s="8" t="n"/>
      <c r="D124" s="8" t="n"/>
      <c r="E124" s="8" t="n"/>
      <c r="F124" s="8" t="n"/>
    </row>
    <row r="125">
      <c r="A125" s="8" t="n"/>
      <c r="B125" s="8" t="n"/>
      <c r="C125" s="8" t="n"/>
      <c r="D125" s="8" t="n"/>
      <c r="E125" s="8" t="n"/>
      <c r="F125" s="8" t="n"/>
    </row>
    <row r="126">
      <c r="A126" s="8" t="n"/>
      <c r="B126" s="8" t="n"/>
      <c r="C126" s="8" t="n"/>
      <c r="D126" s="8" t="n"/>
      <c r="E126" s="8" t="n"/>
      <c r="F126" s="8" t="n"/>
    </row>
    <row r="127">
      <c r="A127" s="8" t="n"/>
      <c r="B127" s="8" t="n"/>
      <c r="C127" s="8" t="n"/>
      <c r="D127" s="8" t="n"/>
      <c r="E127" s="8" t="n"/>
      <c r="F127" s="8" t="n"/>
    </row>
    <row r="128">
      <c r="A128" s="8" t="n"/>
      <c r="B128" s="8" t="n"/>
      <c r="C128" s="8" t="n"/>
      <c r="D128" s="8" t="n"/>
      <c r="E128" s="8" t="n"/>
      <c r="F128" s="8" t="n"/>
    </row>
    <row r="129">
      <c r="A129" s="8" t="n"/>
      <c r="B129" s="8" t="n"/>
      <c r="C129" s="8" t="n"/>
      <c r="D129" s="8" t="n"/>
      <c r="E129" s="8" t="n"/>
      <c r="F129" s="8" t="n"/>
    </row>
    <row r="130">
      <c r="A130" s="8" t="n"/>
      <c r="B130" s="8" t="n"/>
      <c r="C130" s="8" t="n"/>
      <c r="D130" s="8" t="n"/>
      <c r="E130" s="8" t="n"/>
      <c r="F130" s="8" t="n"/>
    </row>
    <row r="131">
      <c r="A131" s="8" t="n"/>
      <c r="B131" s="8" t="n"/>
      <c r="C131" s="8" t="n"/>
      <c r="D131" s="8" t="n"/>
      <c r="E131" s="8" t="n"/>
      <c r="F131" s="8" t="n"/>
    </row>
  </sheetData>
  <dataValidations count="2">
    <dataValidation sqref="B5:B131" showDropDown="0" showInputMessage="0" showErrorMessage="0" allowBlank="1" type="list">
      <formula1>"PRODUCAO,VENDA,PERDA,AMOSTRA,DEGUSTACAO,TESTE,HISTORICO"</formula1>
    </dataValidation>
    <dataValidation sqref="C5:C131" showDropDown="0" showInputMessage="0" showErrorMessage="0" allowBlank="1" type="list">
      <formula1>"Café Proteico,Pistache,Manga com Maracujá,Sorbet Morango,Torta de Limão,Alfajor,Brigadeiro Proteico"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2026-10-22T17:15:53Z</dcterms:created>
  <dcterms:modified xmlns:dcterms="http://purl.org/dc/terms/" xmlns:xsi="http://www.w3.org/2001/XMLSchema-instance" xsi:type="dcterms:W3CDTF">2026-10-22T17:15:54Z</dcterms:modified>
</cp:coreProperties>
</file>