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INSUMOS" sheetId="2" state="visible" r:id="rId2"/>
    <sheet xmlns:r="http://schemas.openxmlformats.org/officeDocument/2006/relationships" name="COMPOSTOS" sheetId="3" state="visible" r:id="rId3"/>
    <sheet xmlns:r="http://schemas.openxmlformats.org/officeDocument/2006/relationships" name="Café Proteico" sheetId="4" state="visible" r:id="rId4"/>
    <sheet xmlns:r="http://schemas.openxmlformats.org/officeDocument/2006/relationships" name="Pistache" sheetId="5" state="visible" r:id="rId5"/>
    <sheet xmlns:r="http://schemas.openxmlformats.org/officeDocument/2006/relationships" name="Manga com Maracujá" sheetId="6" state="visible" r:id="rId6"/>
    <sheet xmlns:r="http://schemas.openxmlformats.org/officeDocument/2006/relationships" name="Sorbet Morango" sheetId="7" state="visible" r:id="rId7"/>
    <sheet xmlns:r="http://schemas.openxmlformats.org/officeDocument/2006/relationships" name="Torta de Limão" sheetId="8" state="visible" r:id="rId8"/>
    <sheet xmlns:r="http://schemas.openxmlformats.org/officeDocument/2006/relationships" name="Alfajor" sheetId="9" state="visible" r:id="rId9"/>
    <sheet xmlns:r="http://schemas.openxmlformats.org/officeDocument/2006/relationships" name="Brigadeiro Proteico" sheetId="10" state="visible" r:id="rId10"/>
    <sheet xmlns:r="http://schemas.openxmlformats.org/officeDocument/2006/relationships" name="RESUMO" sheetId="11" state="visible" r:id="rId11"/>
  </sheets>
  <definedNames>
    <definedName name="_xlnm._FilterDatabase" localSheetId="1" hidden="1">'INSUMOS'!$A$4:$O$28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b val="1"/>
      <color rgb="006B4A2F"/>
      <sz val="13"/>
    </font>
    <font>
      <i val="1"/>
      <color rgb="006E655C"/>
      <sz val="8"/>
    </font>
    <font>
      <b val="1"/>
      <color rgb="001F1A17"/>
      <sz val="10"/>
    </font>
    <font>
      <b val="1"/>
      <color rgb="00FFFFFF"/>
      <sz val="10"/>
    </font>
  </fonts>
  <fills count="5">
    <fill>
      <patternFill/>
    </fill>
    <fill>
      <patternFill patternType="gray125"/>
    </fill>
    <fill>
      <patternFill patternType="solid">
        <fgColor rgb="00F3EDE5"/>
      </patternFill>
    </fill>
    <fill>
      <patternFill patternType="solid">
        <fgColor rgb="006B4A2F"/>
      </patternFill>
    </fill>
    <fill>
      <patternFill patternType="solid">
        <fgColor rgb="00FBF6EF"/>
      </patternFill>
    </fill>
  </fills>
  <borders count="2">
    <border>
      <left/>
      <right/>
      <top/>
      <bottom/>
      <diagonal/>
    </border>
    <border>
      <bottom style="thin">
        <color rgb="00D8CEC1"/>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2" borderId="0" pivotButton="0" quotePrefix="0" xfId="0"/>
    <xf numFmtId="0" fontId="0" fillId="2" borderId="0" applyAlignment="1" pivotButton="0" quotePrefix="0" xfId="0">
      <alignment vertical="top" wrapText="1"/>
    </xf>
    <xf numFmtId="0" fontId="4" fillId="3" borderId="0" applyAlignment="1" pivotButton="0" quotePrefix="0" xfId="0">
      <alignment horizontal="center" vertical="center" wrapText="1"/>
    </xf>
    <xf numFmtId="0" fontId="0" fillId="2" borderId="1" pivotButton="0" quotePrefix="0" xfId="0"/>
    <xf numFmtId="2" fontId="0" fillId="2" borderId="1" pivotButton="0" quotePrefix="0" xfId="0"/>
    <xf numFmtId="0" fontId="0" fillId="2" borderId="1" applyAlignment="1" pivotButton="0" quotePrefix="0" xfId="0">
      <alignment vertical="top" wrapText="1"/>
    </xf>
    <xf numFmtId="0" fontId="0" fillId="0" borderId="1" pivotButton="0" quotePrefix="0" xfId="0"/>
    <xf numFmtId="2" fontId="0" fillId="0" borderId="1" pivotButton="0" quotePrefix="0" xfId="0"/>
    <xf numFmtId="0" fontId="0" fillId="0" borderId="1" applyAlignment="1" pivotButton="0" quotePrefix="0" xfId="0">
      <alignment vertical="top" wrapText="1"/>
    </xf>
    <xf numFmtId="2" fontId="0" fillId="0" borderId="0" pivotButton="0" quotePrefix="0" xfId="0"/>
    <xf numFmtId="10" fontId="0" fillId="0" borderId="0" pivotButton="0" quotePrefix="0" xfId="0"/>
    <xf numFmtId="164" fontId="0" fillId="0" borderId="0" pivotButton="0" quotePrefix="0" xfId="0"/>
    <xf numFmtId="0" fontId="3" fillId="4" borderId="0" pivotButton="0" quotePrefix="0" xfId="0"/>
    <xf numFmtId="0" fontId="0" fillId="4" borderId="0" pivotButton="0" quotePrefix="0" xfId="0"/>
    <xf numFmtId="164" fontId="0" fillId="0" borderId="1" pivotButton="0" quotePrefix="0" xfId="0"/>
    <xf numFmtId="10" fontId="0" fillId="0" borderId="1" pivotButton="0" quotePrefix="0" xfId="0"/>
    <xf numFmtId="165" fontId="0" fillId="0" borderId="1" pivotButton="0" quotePrefix="0" xfId="0"/>
    <xf numFmtId="164" fontId="3" fillId="4" borderId="0" pivotButton="0" quotePrefix="0" xfId="0"/>
    <xf numFmtId="2" fontId="3" fillId="4"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05" customWidth="1" min="2" max="2"/>
  </cols>
  <sheetData>
    <row r="1">
      <c r="A1" s="1" t="inlineStr">
        <is>
          <t>O Beco Gelato — dados para ficha técnica e tabela nutricional</t>
        </is>
      </c>
    </row>
    <row r="2">
      <c r="A2" s="2" t="inlineStr">
        <is>
          <t>Revisão de 21/10/2026</t>
        </is>
      </c>
    </row>
    <row r="3" ht="8" customHeight="1">
      <c r="A3" s="3" t="inlineStr"/>
      <c r="B3" s="4" t="inlineStr"/>
    </row>
    <row r="4" ht="30" customHeight="1">
      <c r="A4" s="3" t="inlineStr">
        <is>
          <t>O que tem aqui</t>
        </is>
      </c>
      <c r="B4" s="4" t="inlineStr">
        <is>
          <t>Sete sabores de linha, todos zero lactose. Uma aba por sabor, mais a aba INSUMOS com a ficha de cada ingrediente e a aba RESUMO com o comparativo.</t>
        </is>
      </c>
    </row>
    <row r="5" ht="30" customHeight="1">
      <c r="A5" s="5" t="inlineStr">
        <is>
          <t>ATENÇÃO — selo de açúcar</t>
        </is>
      </c>
      <c r="B5" s="6" t="inlineStr">
        <is>
          <t>Cinco dos sete sabores sustentam 'sem adição de açúcares' com zero absoluto. DOIS NÃO: Sorbet Morango (0,470 g/100 g, vindos da Pasta Fragola a 10 g/kg, que é 47% açúcar adicionado) e Alfajor (0,010 g/100 g, vindos do biscoito). A alegação exige zero sem tolerância. Coluna 'Aç. adic.' na aba RESUMO.</t>
        </is>
      </c>
    </row>
    <row r="6" ht="30" customHeight="1">
      <c r="A6" s="3" t="inlineStr">
        <is>
          <t>As fórmulas são vivas</t>
        </is>
      </c>
      <c r="B6" s="4" t="inlineStr">
        <is>
          <t>As abas de sabor calculam a composição puxando da aba INSUMOS com PROCV. Se você corrigir um valor na INSUMOS, todos os sabores que usam aquele insumo se atualizam sozinhos.</t>
        </is>
      </c>
    </row>
    <row r="7" ht="8" customHeight="1">
      <c r="A7" s="3" t="inlineStr"/>
      <c r="B7" s="4" t="inlineStr"/>
    </row>
    <row r="8" ht="30" customHeight="1">
      <c r="A8" s="5" t="inlineStr">
        <is>
          <t>ORIGEM DOS DADOS</t>
        </is>
      </c>
      <c r="B8" s="6" t="inlineStr">
        <is>
          <t>Os valores nutricionais vêm do cadastro interno do Beco, montado a partir de fichas técnicas e rótulos ao longo do tempo. NÃO substituem o rótulo físico da embalagem em uso. A coluna CONFERIR na aba INSUMOS marca onde essa verificação é mais crítica.</t>
        </is>
      </c>
    </row>
    <row r="9" ht="8" customHeight="1">
      <c r="A9" s="3" t="inlineStr"/>
      <c r="B9" s="4" t="inlineStr"/>
    </row>
    <row r="10" ht="30" customHeight="1">
      <c r="A10" s="3" t="inlineStr">
        <is>
          <t>Calda</t>
        </is>
      </c>
      <c r="B10" s="4" t="inlineStr">
        <is>
          <t>A mistura líquida pasteurizada, antes da batedeira. Todas as formulações estão por 1 kg de calda.</t>
        </is>
      </c>
    </row>
    <row r="11" ht="30" customHeight="1">
      <c r="A11" s="3" t="inlineStr">
        <is>
          <t>Gelato</t>
        </is>
      </c>
      <c r="B11" s="4" t="inlineStr">
        <is>
          <t>A calda depois de batida, com ar incorporado. É o que vai no pote.</t>
        </is>
      </c>
    </row>
    <row r="12" ht="30" customHeight="1">
      <c r="A12" s="3" t="inlineStr">
        <is>
          <t>Pote</t>
        </is>
      </c>
      <c r="B12" s="4" t="inlineStr">
        <is>
          <t>140 g de produto. Com pote e tampa (10 g), 150 g na balança. Exceção: o Alfajor tem 135 g de gelato mais 15 g de biscoito por cima, fechando 150 g.</t>
        </is>
      </c>
    </row>
    <row r="13" ht="30" customHeight="1">
      <c r="A13" s="3" t="inlineStr">
        <is>
          <t>Açúcares totais</t>
        </is>
      </c>
      <c r="B13" s="4" t="inlineStr">
        <is>
          <t>No sentido da ANVISA: NÃO incluem polióis. O cadastro guarda um segundo valor, 'técnico', que soma açúcar e poliol — serve para calcular doçura e ponto de congelamento, não para rótulo. As duas colunas estão separadas.</t>
        </is>
      </c>
    </row>
    <row r="14" ht="30" customHeight="1">
      <c r="A14" s="3" t="inlineStr">
        <is>
          <t>Carboidratos totais</t>
        </is>
      </c>
      <c r="B14" s="4" t="inlineStr">
        <is>
          <t>NÃO calculados aqui, de propósito. A convenção de incluir ou não fibras e polióis é decisão sua. Cada componente medido está separado e os sólidos totais fecham a conta.</t>
        </is>
      </c>
    </row>
    <row r="15" ht="30" customHeight="1">
      <c r="A15" s="3" t="inlineStr">
        <is>
          <t>Overrun</t>
        </is>
      </c>
      <c r="B15" s="4" t="inlineStr">
        <is>
          <t>O ar incorporado na batedeira. O cadastro usa 21% para todos; medição de 16/10 deu de 14% a 47% conforme o sabor. Não altera a composição por 100 g, altera o peso do pote cheio.</t>
        </is>
      </c>
    </row>
    <row r="16" ht="8" customHeight="1">
      <c r="A16" s="3" t="inlineStr"/>
      <c r="B16" s="4" t="inlineStr"/>
    </row>
    <row r="17" ht="30" customHeight="1">
      <c r="A17" s="3" t="inlineStr">
        <is>
          <t>Contato</t>
        </is>
      </c>
      <c r="B17" s="4" t="inlineStr">
        <is>
          <t>Gabriel Sampaio — O Beco Gelato LTDA — CNPJ 66.901.942/0001-59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2" customWidth="1" min="3" max="3"/>
    <col width="8" customWidth="1" min="4" max="4"/>
    <col width="12" customWidth="1" min="5" max="5"/>
    <col width="13" customWidth="1" min="6" max="6"/>
    <col width="10" customWidth="1" min="7" max="7"/>
    <col width="12" customWidth="1" min="8" max="8"/>
    <col width="11" customWidth="1" min="9" max="9"/>
    <col width="10" customWidth="1" min="10" max="10"/>
    <col width="8" customWidth="1" min="11" max="11"/>
    <col width="12" customWidth="1" min="12" max="12"/>
    <col width="11" customWidth="1" min="13" max="13"/>
    <col width="9" customWidth="1" min="14" max="14"/>
    <col width="46" customWidth="1" min="15" max="15"/>
  </cols>
  <sheetData>
    <row r="1">
      <c r="A1" s="1" t="inlineStr">
        <is>
          <t>Ficha nutricional dos insumos — valores por 100 g</t>
        </is>
      </c>
    </row>
    <row r="2">
      <c r="A2" s="2" t="inlineStr">
        <is>
          <t>Editar aqui atualiza todas as abas de sabor automaticamente.</t>
        </is>
      </c>
    </row>
    <row r="4" ht="28" customHeight="1">
      <c r="A4" s="7" t="inlineStr">
        <is>
          <t>Insumo</t>
        </is>
      </c>
      <c r="B4" s="7" t="inlineStr">
        <is>
          <t>Nome de rótulo</t>
        </is>
      </c>
      <c r="C4" s="7" t="inlineStr">
        <is>
          <t>Alergênicos</t>
        </is>
      </c>
      <c r="D4" s="7" t="inlineStr">
        <is>
          <t>kcal</t>
        </is>
      </c>
      <c r="E4" s="7" t="inlineStr">
        <is>
          <t>Açúcares téc.</t>
        </is>
      </c>
      <c r="F4" s="7" t="inlineStr">
        <is>
          <t>% açúcar adicionado</t>
        </is>
      </c>
      <c r="G4" s="7" t="inlineStr">
        <is>
          <t>Gorduras</t>
        </is>
      </c>
      <c r="H4" s="7" t="inlineStr">
        <is>
          <t>Gord. saturadas</t>
        </is>
      </c>
      <c r="I4" s="7" t="inlineStr">
        <is>
          <t>Gord. trans</t>
        </is>
      </c>
      <c r="J4" s="7" t="inlineStr">
        <is>
          <t>Proteínas</t>
        </is>
      </c>
      <c r="K4" s="7" t="inlineStr">
        <is>
          <t>Fibras</t>
        </is>
      </c>
      <c r="L4" s="7" t="inlineStr">
        <is>
          <t>Sólidos totais</t>
        </is>
      </c>
      <c r="M4" s="7" t="inlineStr">
        <is>
          <t>Sódio (mg)</t>
        </is>
      </c>
      <c r="N4" s="7" t="inlineStr">
        <is>
          <t>R$/kg</t>
        </is>
      </c>
      <c r="O4" s="7" t="inlineStr">
        <is>
          <t>CONFERIR</t>
        </is>
      </c>
    </row>
    <row r="5">
      <c r="A5" s="8" t="inlineStr">
        <is>
          <t>AGUA</t>
        </is>
      </c>
      <c r="B5" s="8" t="inlineStr">
        <is>
          <t>água</t>
        </is>
      </c>
      <c r="C5" s="8" t="inlineStr">
        <is>
          <t>—</t>
        </is>
      </c>
      <c r="D5" s="9" t="n">
        <v>0</v>
      </c>
      <c r="E5" s="9" t="n">
        <v>0</v>
      </c>
      <c r="F5" s="9" t="n">
        <v>0</v>
      </c>
      <c r="G5" s="9" t="n">
        <v>0</v>
      </c>
      <c r="H5" s="9" t="n">
        <v>0</v>
      </c>
      <c r="I5" s="9" t="n">
        <v>0</v>
      </c>
      <c r="J5" s="9" t="n">
        <v>0</v>
      </c>
      <c r="K5" s="9" t="n">
        <v>0</v>
      </c>
      <c r="L5" s="9" t="n">
        <v>0</v>
      </c>
      <c r="M5" s="9" t="n">
        <v>0</v>
      </c>
      <c r="N5" s="9" t="n">
        <v>0</v>
      </c>
      <c r="O5" s="10" t="inlineStr">
        <is>
          <t>sem preço no cadastro</t>
        </is>
      </c>
    </row>
    <row r="6">
      <c r="A6" s="8" t="inlineStr">
        <is>
          <t>BASE MEC PROTEIN</t>
        </is>
      </c>
      <c r="B6" s="8" t="inlineStr">
        <is>
          <t>base proteica</t>
        </is>
      </c>
      <c r="C6" s="8" t="inlineStr">
        <is>
          <t>LEITE</t>
        </is>
      </c>
      <c r="D6" s="9" t="n">
        <v>336</v>
      </c>
      <c r="E6" s="9" t="n">
        <v>19</v>
      </c>
      <c r="F6" s="9" t="n">
        <v>0</v>
      </c>
      <c r="G6" s="9" t="n">
        <v>12.5</v>
      </c>
      <c r="H6" s="9" t="n">
        <v>9</v>
      </c>
      <c r="I6" s="9" t="n">
        <v>0.8</v>
      </c>
      <c r="J6" s="9" t="n">
        <v>30</v>
      </c>
      <c r="K6" s="9" t="n">
        <v>14</v>
      </c>
      <c r="L6" s="9" t="n">
        <v>97</v>
      </c>
      <c r="M6" s="9" t="n">
        <v>340</v>
      </c>
      <c r="N6" s="9" t="n">
        <v>148.2</v>
      </c>
      <c r="O6" s="10" t="inlineStr">
        <is>
          <t>ingrediente COMPOSTO — pedir a lista interna ao fabricante</t>
        </is>
      </c>
    </row>
    <row r="7">
      <c r="A7" s="8" t="inlineStr">
        <is>
          <t>BISCOITO ALFAJOR DE CHOCOLATE (ZERO LACTOSE)</t>
        </is>
      </c>
      <c r="B7" s="8" t="inlineStr">
        <is>
          <t>biscoito de alfajor de chocolate</t>
        </is>
      </c>
      <c r="C7" s="8" t="inlineStr">
        <is>
          <t>LEITE, GLÚTEN</t>
        </is>
      </c>
      <c r="D7" s="9" t="n">
        <v>437</v>
      </c>
      <c r="E7" s="9" t="n">
        <v>1.5</v>
      </c>
      <c r="F7" s="9" t="n">
        <v>0.1</v>
      </c>
      <c r="G7" s="9" t="n">
        <v>28</v>
      </c>
      <c r="H7" s="9" t="n">
        <v>21</v>
      </c>
      <c r="I7" s="9" t="n">
        <v>0.2</v>
      </c>
      <c r="J7" s="9" t="n">
        <v>4.6</v>
      </c>
      <c r="K7" s="9" t="n">
        <v>3.9</v>
      </c>
      <c r="L7" s="9" t="n">
        <v>83.59999999999999</v>
      </c>
      <c r="M7" s="9" t="n">
        <v>207</v>
      </c>
      <c r="N7" s="9" t="n">
        <v>38.46</v>
      </c>
      <c r="O7" s="10" t="inlineStr">
        <is>
          <t>ingrediente COMPOSTO — pedir a lista interna ao fabricante</t>
        </is>
      </c>
    </row>
    <row r="8">
      <c r="A8" s="11" t="inlineStr">
        <is>
          <t>CACAU 22/24</t>
        </is>
      </c>
      <c r="B8" s="11" t="inlineStr">
        <is>
          <t>cacau em pó alcalinizado</t>
        </is>
      </c>
      <c r="C8" s="11" t="inlineStr">
        <is>
          <t>—</t>
        </is>
      </c>
      <c r="D8" s="12" t="n">
        <v>340</v>
      </c>
      <c r="E8" s="12" t="n">
        <v>0</v>
      </c>
      <c r="F8" s="12" t="n">
        <v>0</v>
      </c>
      <c r="G8" s="12" t="n">
        <v>23</v>
      </c>
      <c r="H8" s="12" t="n">
        <v>14.5</v>
      </c>
      <c r="I8" s="12" t="n">
        <v>0</v>
      </c>
      <c r="J8" s="12" t="n">
        <v>0</v>
      </c>
      <c r="K8" s="12" t="n">
        <v>27.5</v>
      </c>
      <c r="L8" s="12" t="n">
        <v>100</v>
      </c>
      <c r="M8" s="12" t="n">
        <v>16.5</v>
      </c>
      <c r="N8" s="12" t="n">
        <v>130</v>
      </c>
      <c r="O8" s="13" t="inlineStr"/>
    </row>
    <row r="9">
      <c r="A9" s="11" t="inlineStr">
        <is>
          <t>CREME DE LEITE FRESCO 35% ZL (VERDE CAMPO LACFREE)</t>
        </is>
      </c>
      <c r="B9" s="11" t="inlineStr">
        <is>
          <t>creme de leite zero lactose</t>
        </is>
      </c>
      <c r="C9" s="11" t="inlineStr">
        <is>
          <t>LEITE</t>
        </is>
      </c>
      <c r="D9" s="12" t="n">
        <v>335</v>
      </c>
      <c r="E9" s="12" t="n">
        <v>2.7</v>
      </c>
      <c r="F9" s="12" t="n">
        <v>0</v>
      </c>
      <c r="G9" s="12" t="n">
        <v>35</v>
      </c>
      <c r="H9" s="12" t="n">
        <v>24</v>
      </c>
      <c r="I9" s="12" t="n">
        <v>0</v>
      </c>
      <c r="J9" s="12" t="n">
        <v>2.4</v>
      </c>
      <c r="K9" s="12" t="n">
        <v>0</v>
      </c>
      <c r="L9" s="12" t="n">
        <v>41</v>
      </c>
      <c r="M9" s="12" t="n">
        <v>79</v>
      </c>
      <c r="N9" s="12" t="n">
        <v>57.8</v>
      </c>
      <c r="O9" s="13" t="inlineStr"/>
    </row>
    <row r="10">
      <c r="A10" s="8" t="inlineStr">
        <is>
          <t>CREMOBENE PREMIUM (LIGA NEUTRA)</t>
        </is>
      </c>
      <c r="B10" s="8" t="inlineStr">
        <is>
          <t>—</t>
        </is>
      </c>
      <c r="C10" s="8" t="inlineStr">
        <is>
          <t>—</t>
        </is>
      </c>
      <c r="D10" s="9" t="n">
        <v>670</v>
      </c>
      <c r="E10" s="9" t="n">
        <v>0</v>
      </c>
      <c r="F10" s="9" t="n">
        <v>0</v>
      </c>
      <c r="G10" s="9" t="n">
        <v>68</v>
      </c>
      <c r="H10" s="9" t="n">
        <v>0</v>
      </c>
      <c r="I10" s="9" t="n">
        <v>0</v>
      </c>
      <c r="J10" s="9" t="n">
        <v>1</v>
      </c>
      <c r="K10" s="9" t="n">
        <v>25</v>
      </c>
      <c r="L10" s="9" t="n">
        <v>94</v>
      </c>
      <c r="M10" s="9" t="n">
        <v>0</v>
      </c>
      <c r="N10" s="9" t="n">
        <v>105.84</v>
      </c>
      <c r="O10" s="10" t="inlineStr">
        <is>
          <t>sem nome de rótulo definido</t>
        </is>
      </c>
    </row>
    <row r="11">
      <c r="A11" s="11" t="inlineStr">
        <is>
          <t>DELÍCIA DE AMENDOIM PROTEICO</t>
        </is>
      </c>
      <c r="B11" s="11" t="inlineStr">
        <is>
          <t>creme de amendoim proteico</t>
        </is>
      </c>
      <c r="C11" s="11" t="inlineStr">
        <is>
          <t>AMENDOIM, LEITE</t>
        </is>
      </c>
      <c r="D11" s="12" t="n">
        <v>591</v>
      </c>
      <c r="E11" s="12" t="n">
        <v>6.8</v>
      </c>
      <c r="F11" s="12" t="n">
        <v>0</v>
      </c>
      <c r="G11" s="12" t="n">
        <v>49</v>
      </c>
      <c r="H11" s="12" t="n">
        <v>6.8</v>
      </c>
      <c r="I11" s="12" t="n">
        <v>0</v>
      </c>
      <c r="J11" s="12" t="n">
        <v>17</v>
      </c>
      <c r="K11" s="12" t="n">
        <v>2.1</v>
      </c>
      <c r="L11" s="12" t="n">
        <v>97</v>
      </c>
      <c r="M11" s="12" t="n">
        <v>76</v>
      </c>
      <c r="N11" s="12" t="n">
        <v>94.25</v>
      </c>
      <c r="O11" s="13" t="inlineStr"/>
    </row>
    <row r="12">
      <c r="A12" s="8" t="inlineStr">
        <is>
          <t>DOCE DE LEITE VIÇOSA ZERO</t>
        </is>
      </c>
      <c r="B12" s="8" t="inlineStr">
        <is>
          <t>—</t>
        </is>
      </c>
      <c r="C12" s="8" t="inlineStr">
        <is>
          <t>—</t>
        </is>
      </c>
      <c r="D12" s="9" t="n">
        <v>188</v>
      </c>
      <c r="E12" s="9" t="n">
        <v>33</v>
      </c>
      <c r="F12" s="9" t="n">
        <v>0</v>
      </c>
      <c r="G12" s="9" t="n">
        <v>7.2</v>
      </c>
      <c r="H12" s="9" t="n">
        <v>1.6</v>
      </c>
      <c r="I12" s="9" t="n">
        <v>0</v>
      </c>
      <c r="J12" s="9" t="n">
        <v>8.4</v>
      </c>
      <c r="K12" s="9" t="n">
        <v>0.6</v>
      </c>
      <c r="L12" s="9" t="n">
        <v>65</v>
      </c>
      <c r="M12" s="9" t="n">
        <v>188</v>
      </c>
      <c r="N12" s="9" t="n">
        <v>99.75</v>
      </c>
      <c r="O12" s="10" t="inlineStr">
        <is>
          <t>sem nome de rótulo definido</t>
        </is>
      </c>
    </row>
    <row r="13">
      <c r="A13" s="11" t="inlineStr">
        <is>
          <t>ERITRITOL</t>
        </is>
      </c>
      <c r="B13" s="11" t="inlineStr">
        <is>
          <t>eritritol</t>
        </is>
      </c>
      <c r="C13" s="11" t="inlineStr">
        <is>
          <t>—</t>
        </is>
      </c>
      <c r="D13" s="12" t="n">
        <v>20</v>
      </c>
      <c r="E13" s="12" t="n">
        <v>100</v>
      </c>
      <c r="F13" s="12" t="n">
        <v>0</v>
      </c>
      <c r="G13" s="12" t="n">
        <v>0</v>
      </c>
      <c r="H13" s="12" t="n">
        <v>0</v>
      </c>
      <c r="I13" s="12" t="n">
        <v>0</v>
      </c>
      <c r="J13" s="12" t="n">
        <v>0</v>
      </c>
      <c r="K13" s="12" t="n">
        <v>0</v>
      </c>
      <c r="L13" s="12" t="n">
        <v>100</v>
      </c>
      <c r="M13" s="12" t="n">
        <v>0</v>
      </c>
      <c r="N13" s="12" t="n">
        <v>53.76</v>
      </c>
      <c r="O13" s="13" t="inlineStr"/>
    </row>
    <row r="14">
      <c r="A14" s="11" t="inlineStr">
        <is>
          <t>GLICEROL (GLICERINA BIDESTILADA)</t>
        </is>
      </c>
      <c r="B14" s="11" t="inlineStr">
        <is>
          <t>umectante glicerol</t>
        </is>
      </c>
      <c r="C14" s="11" t="inlineStr">
        <is>
          <t>—</t>
        </is>
      </c>
      <c r="D14" s="12" t="n">
        <v>400</v>
      </c>
      <c r="E14" s="12" t="n">
        <v>100</v>
      </c>
      <c r="F14" s="12" t="n">
        <v>0</v>
      </c>
      <c r="G14" s="12" t="n">
        <v>0</v>
      </c>
      <c r="H14" s="12" t="n">
        <v>0</v>
      </c>
      <c r="I14" s="12" t="n">
        <v>0</v>
      </c>
      <c r="J14" s="12" t="n">
        <v>0</v>
      </c>
      <c r="K14" s="12" t="n">
        <v>0</v>
      </c>
      <c r="L14" s="12" t="n">
        <v>100</v>
      </c>
      <c r="M14" s="12" t="n">
        <v>0</v>
      </c>
      <c r="N14" s="12" t="n">
        <v>24</v>
      </c>
      <c r="O14" s="13" t="inlineStr"/>
    </row>
    <row r="15">
      <c r="A15" s="11" t="inlineStr">
        <is>
          <t>GUSTO LIMONE SICILIA (PÓ)</t>
        </is>
      </c>
      <c r="B15" s="11" t="inlineStr">
        <is>
          <t>preparado de limão siciliano</t>
        </is>
      </c>
      <c r="C15" s="11" t="inlineStr">
        <is>
          <t>—</t>
        </is>
      </c>
      <c r="D15" s="12" t="n">
        <v>436</v>
      </c>
      <c r="E15" s="12" t="n">
        <v>33</v>
      </c>
      <c r="F15" s="12" t="n">
        <v>0</v>
      </c>
      <c r="G15" s="12" t="n">
        <v>1</v>
      </c>
      <c r="H15" s="12" t="n">
        <v>0.5</v>
      </c>
      <c r="I15" s="12" t="n">
        <v>0</v>
      </c>
      <c r="J15" s="12" t="n">
        <v>0.5</v>
      </c>
      <c r="K15" s="12" t="n">
        <v>1</v>
      </c>
      <c r="L15" s="12" t="n">
        <v>97</v>
      </c>
      <c r="M15" s="12" t="n">
        <v>50</v>
      </c>
      <c r="N15" s="12" t="n">
        <v>359.62</v>
      </c>
      <c r="O15" s="13" t="inlineStr"/>
    </row>
    <row r="16">
      <c r="A16" s="8" t="inlineStr">
        <is>
          <t>LEITE EM PO DESNATADO ZL (BATAVO PENSE ZERO)</t>
        </is>
      </c>
      <c r="B16" s="8" t="inlineStr">
        <is>
          <t>—</t>
        </is>
      </c>
      <c r="C16" s="8" t="inlineStr">
        <is>
          <t>—</t>
        </is>
      </c>
      <c r="D16" s="9" t="n">
        <v>350</v>
      </c>
      <c r="E16" s="9" t="n">
        <v>50</v>
      </c>
      <c r="F16" s="9" t="n">
        <v>0</v>
      </c>
      <c r="G16" s="9" t="n">
        <v>1</v>
      </c>
      <c r="H16" s="9" t="n">
        <v>0.5</v>
      </c>
      <c r="I16" s="9" t="n">
        <v>0</v>
      </c>
      <c r="J16" s="9" t="n">
        <v>35</v>
      </c>
      <c r="K16" s="9" t="n">
        <v>0</v>
      </c>
      <c r="L16" s="9" t="n">
        <v>96</v>
      </c>
      <c r="M16" s="9" t="n">
        <v>385</v>
      </c>
      <c r="N16" s="9" t="n">
        <v>65.7</v>
      </c>
      <c r="O16" s="10" t="inlineStr">
        <is>
          <t>sem nome de rótulo definido</t>
        </is>
      </c>
    </row>
    <row r="17">
      <c r="A17" s="11" t="inlineStr">
        <is>
          <t>LEITE ZERO LACTOSE (INTEGRAL)</t>
        </is>
      </c>
      <c r="B17" s="11" t="inlineStr">
        <is>
          <t>leite integral zero lactose</t>
        </is>
      </c>
      <c r="C17" s="11" t="inlineStr">
        <is>
          <t>LEITE</t>
        </is>
      </c>
      <c r="D17" s="12" t="n">
        <v>66</v>
      </c>
      <c r="E17" s="12" t="n">
        <v>4.6</v>
      </c>
      <c r="F17" s="12" t="n">
        <v>0</v>
      </c>
      <c r="G17" s="12" t="n">
        <v>4</v>
      </c>
      <c r="H17" s="12" t="n">
        <v>2.7</v>
      </c>
      <c r="I17" s="12" t="n">
        <v>0</v>
      </c>
      <c r="J17" s="12" t="n">
        <v>3.5</v>
      </c>
      <c r="K17" s="12" t="n">
        <v>0</v>
      </c>
      <c r="L17" s="12" t="n">
        <v>12.6</v>
      </c>
      <c r="M17" s="12" t="n">
        <v>62</v>
      </c>
      <c r="N17" s="12" t="n">
        <v>9.800000000000001</v>
      </c>
      <c r="O17" s="13" t="inlineStr"/>
    </row>
    <row r="18">
      <c r="A18" s="11" t="inlineStr">
        <is>
          <t>MALTITOL</t>
        </is>
      </c>
      <c r="B18" s="11" t="inlineStr">
        <is>
          <t>maltitol</t>
        </is>
      </c>
      <c r="C18" s="11" t="inlineStr">
        <is>
          <t>—</t>
        </is>
      </c>
      <c r="D18" s="12" t="n">
        <v>240</v>
      </c>
      <c r="E18" s="12" t="n">
        <v>99</v>
      </c>
      <c r="F18" s="12" t="n">
        <v>0</v>
      </c>
      <c r="G18" s="12" t="n">
        <v>0</v>
      </c>
      <c r="H18" s="12" t="n">
        <v>0</v>
      </c>
      <c r="I18" s="12" t="n">
        <v>0</v>
      </c>
      <c r="J18" s="12" t="n">
        <v>0</v>
      </c>
      <c r="K18" s="12" t="n">
        <v>0</v>
      </c>
      <c r="L18" s="12" t="n">
        <v>99</v>
      </c>
      <c r="M18" s="12" t="n">
        <v>0</v>
      </c>
      <c r="N18" s="12" t="n">
        <v>37.78</v>
      </c>
      <c r="O18" s="13" t="inlineStr"/>
    </row>
    <row r="19">
      <c r="A19" s="11" t="inlineStr">
        <is>
          <t>MANGA</t>
        </is>
      </c>
      <c r="B19" s="11" t="inlineStr">
        <is>
          <t>polpa de manga</t>
        </is>
      </c>
      <c r="C19" s="11" t="inlineStr">
        <is>
          <t>—</t>
        </is>
      </c>
      <c r="D19" s="12" t="n">
        <v>60</v>
      </c>
      <c r="E19" s="12" t="n">
        <v>14</v>
      </c>
      <c r="F19" s="12" t="n">
        <v>0</v>
      </c>
      <c r="G19" s="12" t="n">
        <v>0.3</v>
      </c>
      <c r="H19" s="12" t="n">
        <v>0</v>
      </c>
      <c r="I19" s="12" t="n">
        <v>0</v>
      </c>
      <c r="J19" s="12" t="n">
        <v>1</v>
      </c>
      <c r="K19" s="12" t="n">
        <v>1.5</v>
      </c>
      <c r="L19" s="12" t="n">
        <v>17</v>
      </c>
      <c r="M19" s="12" t="n">
        <v>2</v>
      </c>
      <c r="N19" s="12" t="n">
        <v>22</v>
      </c>
      <c r="O19" s="13" t="inlineStr"/>
    </row>
    <row r="20">
      <c r="A20" s="11" t="inlineStr">
        <is>
          <t>MARACUJA (POLPA)</t>
        </is>
      </c>
      <c r="B20" s="11" t="inlineStr">
        <is>
          <t>polpa de maracujá</t>
        </is>
      </c>
      <c r="C20" s="11" t="inlineStr">
        <is>
          <t>—</t>
        </is>
      </c>
      <c r="D20" s="12" t="n">
        <v>68</v>
      </c>
      <c r="E20" s="12" t="n">
        <v>14</v>
      </c>
      <c r="F20" s="12" t="n">
        <v>0</v>
      </c>
      <c r="G20" s="12" t="n">
        <v>0.3</v>
      </c>
      <c r="H20" s="12" t="n">
        <v>0</v>
      </c>
      <c r="I20" s="12" t="n">
        <v>0</v>
      </c>
      <c r="J20" s="12" t="n">
        <v>1</v>
      </c>
      <c r="K20" s="12" t="n">
        <v>1.5</v>
      </c>
      <c r="L20" s="12" t="n">
        <v>16</v>
      </c>
      <c r="M20" s="12" t="n">
        <v>2</v>
      </c>
      <c r="N20" s="12" t="n">
        <v>30</v>
      </c>
      <c r="O20" s="13" t="inlineStr"/>
    </row>
    <row r="21">
      <c r="A21" s="8" t="inlineStr">
        <is>
          <t>MIX OFICIAL</t>
        </is>
      </c>
      <c r="B21" s="8" t="inlineStr">
        <is>
          <t>—</t>
        </is>
      </c>
      <c r="C21" s="8" t="inlineStr">
        <is>
          <t>—</t>
        </is>
      </c>
      <c r="D21" s="9" t="n">
        <v>122.092</v>
      </c>
      <c r="E21" s="9" t="n">
        <v>41.944</v>
      </c>
      <c r="F21" s="9" t="n">
        <v>0</v>
      </c>
      <c r="G21" s="9" t="n">
        <v>0</v>
      </c>
      <c r="H21" s="9" t="n">
        <v>0</v>
      </c>
      <c r="I21" s="9" t="n">
        <v>0</v>
      </c>
      <c r="J21" s="9" t="n">
        <v>0.324</v>
      </c>
      <c r="K21" s="9" t="n">
        <v>54.622</v>
      </c>
      <c r="L21" s="9" t="n">
        <v>96.89</v>
      </c>
      <c r="M21" s="9" t="n">
        <v>11</v>
      </c>
      <c r="N21" s="9" t="n">
        <v>49.134</v>
      </c>
      <c r="O21" s="10" t="inlineStr">
        <is>
          <t>sem nome de rótulo definido; feito na casa — ver composição na seção do Mix Oficial</t>
        </is>
      </c>
    </row>
    <row r="22">
      <c r="A22" s="11" t="inlineStr">
        <is>
          <t>MORANGO</t>
        </is>
      </c>
      <c r="B22" s="11" t="inlineStr">
        <is>
          <t>polpa de morango</t>
        </is>
      </c>
      <c r="C22" s="11" t="inlineStr">
        <is>
          <t>—</t>
        </is>
      </c>
      <c r="D22" s="12" t="n">
        <v>32</v>
      </c>
      <c r="E22" s="12" t="n">
        <v>5</v>
      </c>
      <c r="F22" s="12" t="n">
        <v>0</v>
      </c>
      <c r="G22" s="12" t="n">
        <v>0.3</v>
      </c>
      <c r="H22" s="12" t="n">
        <v>0</v>
      </c>
      <c r="I22" s="12" t="n">
        <v>0</v>
      </c>
      <c r="J22" s="12" t="n">
        <v>1</v>
      </c>
      <c r="K22" s="12" t="n">
        <v>2</v>
      </c>
      <c r="L22" s="12" t="n">
        <v>9</v>
      </c>
      <c r="M22" s="12" t="n">
        <v>2</v>
      </c>
      <c r="N22" s="12" t="n">
        <v>11.29</v>
      </c>
      <c r="O22" s="13" t="inlineStr"/>
    </row>
    <row r="23">
      <c r="A23" s="11" t="inlineStr">
        <is>
          <t>PASTA CAFÉ SELECTA (BALDE 2 KG)</t>
        </is>
      </c>
      <c r="B23" s="11" t="inlineStr">
        <is>
          <t>pasta de café</t>
        </is>
      </c>
      <c r="C23" s="11" t="inlineStr">
        <is>
          <t>—</t>
        </is>
      </c>
      <c r="D23" s="12" t="n">
        <v>210</v>
      </c>
      <c r="E23" s="12" t="n">
        <v>40</v>
      </c>
      <c r="F23" s="12" t="n">
        <v>0</v>
      </c>
      <c r="G23" s="12" t="n">
        <v>0.5</v>
      </c>
      <c r="H23" s="12" t="n">
        <v>0.2</v>
      </c>
      <c r="I23" s="12" t="n">
        <v>0</v>
      </c>
      <c r="J23" s="12" t="n">
        <v>0.5</v>
      </c>
      <c r="K23" s="12" t="n">
        <v>0.5</v>
      </c>
      <c r="L23" s="12" t="n">
        <v>56</v>
      </c>
      <c r="M23" s="12" t="n">
        <v>50</v>
      </c>
      <c r="N23" s="12" t="n">
        <v>90</v>
      </c>
      <c r="O23" s="13" t="inlineStr"/>
    </row>
    <row r="24">
      <c r="A24" s="11" t="inlineStr">
        <is>
          <t>PASTA FRAGOLA MEC3 (18047)</t>
        </is>
      </c>
      <c r="B24" s="11" t="inlineStr">
        <is>
          <t>pasta de morango</t>
        </is>
      </c>
      <c r="C24" s="11" t="inlineStr">
        <is>
          <t>—</t>
        </is>
      </c>
      <c r="D24" s="12" t="n">
        <v>262.4</v>
      </c>
      <c r="E24" s="12" t="n">
        <v>49.7</v>
      </c>
      <c r="F24" s="12" t="n">
        <v>47</v>
      </c>
      <c r="G24" s="12" t="n">
        <v>0.1</v>
      </c>
      <c r="H24" s="12" t="n">
        <v>0</v>
      </c>
      <c r="I24" s="12" t="n">
        <v>0</v>
      </c>
      <c r="J24" s="12" t="n">
        <v>0.2</v>
      </c>
      <c r="K24" s="12" t="n">
        <v>0</v>
      </c>
      <c r="L24" s="12" t="n">
        <v>70</v>
      </c>
      <c r="M24" s="12" t="n">
        <v>24</v>
      </c>
      <c r="N24" s="12" t="n">
        <v>142.27</v>
      </c>
      <c r="O24" s="13" t="inlineStr"/>
    </row>
    <row r="25">
      <c r="A25" s="11" t="inlineStr">
        <is>
          <t>PASTA PISTACCHIO 100% CALIFÓRNIA</t>
        </is>
      </c>
      <c r="B25" s="11" t="inlineStr">
        <is>
          <t>pasta de pistache</t>
        </is>
      </c>
      <c r="C25" s="11" t="inlineStr">
        <is>
          <t>PISTACHE</t>
        </is>
      </c>
      <c r="D25" s="12" t="n">
        <v>591</v>
      </c>
      <c r="E25" s="12" t="n">
        <v>5.7</v>
      </c>
      <c r="F25" s="12" t="n">
        <v>0</v>
      </c>
      <c r="G25" s="12" t="n">
        <v>48</v>
      </c>
      <c r="H25" s="12" t="n">
        <v>12</v>
      </c>
      <c r="I25" s="12" t="n">
        <v>0</v>
      </c>
      <c r="J25" s="12" t="n">
        <v>29</v>
      </c>
      <c r="K25" s="12" t="n">
        <v>9</v>
      </c>
      <c r="L25" s="12" t="n">
        <v>96</v>
      </c>
      <c r="M25" s="12" t="n">
        <v>0</v>
      </c>
      <c r="N25" s="12" t="n">
        <v>450</v>
      </c>
      <c r="O25" s="13" t="inlineStr"/>
    </row>
    <row r="26">
      <c r="A26" s="11" t="inlineStr">
        <is>
          <t>POLIDEXTROSE</t>
        </is>
      </c>
      <c r="B26" s="11" t="inlineStr">
        <is>
          <t>polidextrose</t>
        </is>
      </c>
      <c r="C26" s="11" t="inlineStr">
        <is>
          <t>—</t>
        </is>
      </c>
      <c r="D26" s="12" t="n">
        <v>100</v>
      </c>
      <c r="E26" s="12" t="n">
        <v>5</v>
      </c>
      <c r="F26" s="12" t="n">
        <v>0</v>
      </c>
      <c r="G26" s="12" t="n">
        <v>0</v>
      </c>
      <c r="H26" s="12" t="n">
        <v>0</v>
      </c>
      <c r="I26" s="12" t="n">
        <v>0</v>
      </c>
      <c r="J26" s="12" t="n">
        <v>0</v>
      </c>
      <c r="K26" s="12" t="n">
        <v>90</v>
      </c>
      <c r="L26" s="12" t="n">
        <v>95</v>
      </c>
      <c r="M26" s="12" t="n">
        <v>20</v>
      </c>
      <c r="N26" s="12" t="n">
        <v>28.92</v>
      </c>
      <c r="O26" s="13" t="inlineStr"/>
    </row>
    <row r="27">
      <c r="A27" s="11" t="inlineStr">
        <is>
          <t>SAL</t>
        </is>
      </c>
      <c r="B27" s="11" t="inlineStr">
        <is>
          <t>sal</t>
        </is>
      </c>
      <c r="C27" s="11" t="inlineStr">
        <is>
          <t>—</t>
        </is>
      </c>
      <c r="D27" s="12" t="n">
        <v>0</v>
      </c>
      <c r="E27" s="12" t="n">
        <v>0</v>
      </c>
      <c r="F27" s="12" t="n">
        <v>0</v>
      </c>
      <c r="G27" s="12" t="n">
        <v>0</v>
      </c>
      <c r="H27" s="12" t="n">
        <v>0</v>
      </c>
      <c r="I27" s="12" t="n">
        <v>0</v>
      </c>
      <c r="J27" s="12" t="n">
        <v>0</v>
      </c>
      <c r="K27" s="12" t="n">
        <v>0</v>
      </c>
      <c r="L27" s="12" t="n">
        <v>98.7</v>
      </c>
      <c r="M27" s="12" t="n">
        <v>38758</v>
      </c>
      <c r="N27" s="12" t="n">
        <v>3</v>
      </c>
      <c r="O27" s="13" t="inlineStr"/>
    </row>
    <row r="28">
      <c r="A28" s="11" t="inlineStr">
        <is>
          <t>STEVIA</t>
        </is>
      </c>
      <c r="B28" s="11" t="inlineStr">
        <is>
          <t>edulcorante glicosídeos de esteviol</t>
        </is>
      </c>
      <c r="C28" s="11" t="inlineStr">
        <is>
          <t>—</t>
        </is>
      </c>
      <c r="D28" s="12" t="n">
        <v>0</v>
      </c>
      <c r="E28" s="12" t="n">
        <v>100</v>
      </c>
      <c r="F28" s="12" t="n">
        <v>0</v>
      </c>
      <c r="G28" s="12" t="n">
        <v>0</v>
      </c>
      <c r="H28" s="12" t="n">
        <v>0</v>
      </c>
      <c r="I28" s="12" t="n">
        <v>0</v>
      </c>
      <c r="J28" s="12" t="n">
        <v>0</v>
      </c>
      <c r="K28" s="12" t="n">
        <v>0</v>
      </c>
      <c r="L28" s="12" t="n">
        <v>100</v>
      </c>
      <c r="M28" s="12" t="n">
        <v>0</v>
      </c>
      <c r="N28" s="12" t="n">
        <v>3100</v>
      </c>
      <c r="O28" s="13" t="inlineStr"/>
    </row>
  </sheetData>
  <autoFilter ref="A4:O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0" customWidth="1" min="2" max="2"/>
    <col width="30" customWidth="1" min="3" max="3"/>
    <col width="10" customWidth="1" min="4" max="4"/>
    <col width="14" customWidth="1" min="5" max="5"/>
  </cols>
  <sheetData>
    <row r="1">
      <c r="A1" s="1" t="inlineStr">
        <is>
          <t>Ingredientes preparados na casa</t>
        </is>
      </c>
    </row>
    <row r="2">
      <c r="A2" s="2" t="inlineStr">
        <is>
          <t>Precisam aparecer desdobrados nos componentes na lista de ingredientes do rótulo.</t>
        </is>
      </c>
    </row>
    <row r="4">
      <c r="A4" s="3" t="inlineStr">
        <is>
          <t>MIX OFICIAL — usado no Pistache e na Torta de Limão</t>
        </is>
      </c>
    </row>
    <row r="5" ht="28" customHeight="1">
      <c r="A5" s="7" t="inlineStr">
        <is>
          <t>Componente</t>
        </is>
      </c>
      <c r="B5" s="7" t="inlineStr">
        <is>
          <t>partes</t>
        </is>
      </c>
      <c r="C5" s="7" t="inlineStr">
        <is>
          <t>% do total</t>
        </is>
      </c>
      <c r="D5" s="7" t="inlineStr">
        <is>
          <t>Por 1 kg</t>
        </is>
      </c>
    </row>
    <row r="6">
      <c r="A6" t="inlineStr">
        <is>
          <t>POLIDEXTROSE</t>
        </is>
      </c>
      <c r="B6" s="14" t="n">
        <v>528</v>
      </c>
      <c r="C6" s="15">
        <f>B6/SUM(B$6:B$10)</f>
        <v/>
      </c>
      <c r="D6" s="16">
        <f>C6*1000</f>
        <v/>
      </c>
    </row>
    <row r="7">
      <c r="A7" t="inlineStr">
        <is>
          <t>MALTITOL</t>
        </is>
      </c>
      <c r="B7" s="14" t="n">
        <v>224</v>
      </c>
      <c r="C7" s="15">
        <f>B7/SUM(B$6:B$10)</f>
        <v/>
      </c>
      <c r="D7" s="16">
        <f>C7*1000</f>
        <v/>
      </c>
    </row>
    <row r="8">
      <c r="A8" t="inlineStr">
        <is>
          <t>ERITRITOL</t>
        </is>
      </c>
      <c r="B8" s="14" t="n">
        <v>163</v>
      </c>
      <c r="C8" s="15">
        <f>B8/SUM(B$6:B$10)</f>
        <v/>
      </c>
      <c r="D8" s="16">
        <f>C8*1000</f>
        <v/>
      </c>
    </row>
    <row r="9">
      <c r="A9" t="inlineStr">
        <is>
          <t>INULINA</t>
        </is>
      </c>
      <c r="B9" s="14" t="n">
        <v>81</v>
      </c>
      <c r="C9" s="15">
        <f>B9/SUM(B$6:B$10)</f>
        <v/>
      </c>
      <c r="D9" s="16">
        <f>C9*1000</f>
        <v/>
      </c>
    </row>
    <row r="10">
      <c r="A10" t="inlineStr">
        <is>
          <t>STEVIA</t>
        </is>
      </c>
      <c r="B10" s="14" t="n">
        <v>3</v>
      </c>
      <c r="C10" s="15">
        <f>B10/SUM(B$6:B$10)</f>
        <v/>
      </c>
      <c r="D10" s="16">
        <f>C10*1000</f>
        <v/>
      </c>
    </row>
    <row r="11">
      <c r="A11" s="17" t="inlineStr">
        <is>
          <t>TOTAL</t>
        </is>
      </c>
      <c r="B11" s="17">
        <f>SUM(B6:B10)</f>
        <v/>
      </c>
      <c r="C11" s="18" t="n"/>
      <c r="D11" s="17" t="n">
        <v>1000</v>
      </c>
    </row>
    <row r="14">
      <c r="A14" s="3" t="inlineStr">
        <is>
          <t>BASE PROTEICA — usada no Café e no Brigadeiro</t>
        </is>
      </c>
    </row>
    <row r="15" ht="28" customHeight="1">
      <c r="A15" s="7" t="inlineStr">
        <is>
          <t>Componente</t>
        </is>
      </c>
      <c r="B15" s="7" t="inlineStr">
        <is>
          <t>g por kg de base</t>
        </is>
      </c>
      <c r="C15" s="7" t="inlineStr">
        <is>
          <t>% do total</t>
        </is>
      </c>
      <c r="D15" s="7" t="inlineStr">
        <is>
          <t>Por 1 kg</t>
        </is>
      </c>
    </row>
    <row r="16">
      <c r="A16" t="inlineStr">
        <is>
          <t>LEITE ZERO LACTOSE (INTEGRAL)</t>
        </is>
      </c>
      <c r="B16" s="14" t="n">
        <v>692.4</v>
      </c>
      <c r="C16" s="15">
        <f>B16/SUM(B$16:B$23)</f>
        <v/>
      </c>
      <c r="D16" s="16">
        <f>C16*1000</f>
        <v/>
      </c>
    </row>
    <row r="17">
      <c r="A17" t="inlineStr">
        <is>
          <t>BASE MEC PROTEIN</t>
        </is>
      </c>
      <c r="B17" s="14" t="n">
        <v>130</v>
      </c>
      <c r="C17" s="15">
        <f>B17/SUM(B$16:B$23)</f>
        <v/>
      </c>
      <c r="D17" s="16">
        <f>C17*1000</f>
        <v/>
      </c>
    </row>
    <row r="18">
      <c r="A18" t="inlineStr">
        <is>
          <t>LEITE EM PO DESNATADO ZL (BATAVO PENSE ZERO)</t>
        </is>
      </c>
      <c r="B18" s="14" t="n">
        <v>120</v>
      </c>
      <c r="C18" s="15">
        <f>B18/SUM(B$16:B$23)</f>
        <v/>
      </c>
      <c r="D18" s="16">
        <f>C18*1000</f>
        <v/>
      </c>
    </row>
    <row r="19">
      <c r="A19" t="inlineStr">
        <is>
          <t>GLICEROL (GLICERINA BIDESTILADA)</t>
        </is>
      </c>
      <c r="B19" s="14" t="n">
        <v>30</v>
      </c>
      <c r="C19" s="15">
        <f>B19/SUM(B$16:B$23)</f>
        <v/>
      </c>
      <c r="D19" s="16">
        <f>C19*1000</f>
        <v/>
      </c>
    </row>
    <row r="20">
      <c r="A20" t="inlineStr">
        <is>
          <t>POLIDEXTROSE</t>
        </is>
      </c>
      <c r="B20" s="14" t="n">
        <v>20</v>
      </c>
      <c r="C20" s="15">
        <f>B20/SUM(B$16:B$23)</f>
        <v/>
      </c>
      <c r="D20" s="16">
        <f>C20*1000</f>
        <v/>
      </c>
    </row>
    <row r="21">
      <c r="A21" t="inlineStr">
        <is>
          <t>CREMOBENE PREMIUM (LIGA NEUTRA)</t>
        </is>
      </c>
      <c r="B21" s="14" t="n">
        <v>3.1</v>
      </c>
      <c r="C21" s="15">
        <f>B21/SUM(B$16:B$23)</f>
        <v/>
      </c>
      <c r="D21" s="16">
        <f>C21*1000</f>
        <v/>
      </c>
    </row>
    <row r="22">
      <c r="A22" t="inlineStr">
        <is>
          <t>SAL</t>
        </is>
      </c>
      <c r="B22" s="14" t="n">
        <v>1</v>
      </c>
      <c r="C22" s="15">
        <f>B22/SUM(B$16:B$23)</f>
        <v/>
      </c>
      <c r="D22" s="16">
        <f>C22*1000</f>
        <v/>
      </c>
    </row>
    <row r="23">
      <c r="A23" t="inlineStr">
        <is>
          <t>STEVIA</t>
        </is>
      </c>
      <c r="B23" s="14" t="n">
        <v>0.6</v>
      </c>
      <c r="C23" s="15">
        <f>B23/SUM(B$16:B$23)</f>
        <v/>
      </c>
      <c r="D23" s="16">
        <f>C23*1000</f>
        <v/>
      </c>
    </row>
    <row r="24">
      <c r="A24" s="17" t="inlineStr">
        <is>
          <t>TOTAL</t>
        </is>
      </c>
      <c r="B24" s="17">
        <f>SUM(B16:B23)</f>
        <v/>
      </c>
      <c r="C24" s="18" t="n"/>
      <c r="D24" s="17" t="n">
        <v>1000</v>
      </c>
    </row>
    <row r="27">
      <c r="A27" s="3" t="inlineStr">
        <is>
          <t>Saborização da base proteica</t>
        </is>
      </c>
    </row>
    <row r="28" ht="28" customHeight="1">
      <c r="A28" s="7" t="inlineStr">
        <is>
          <t>Sabor</t>
        </is>
      </c>
      <c r="B28" s="7" t="inlineStr">
        <is>
          <t>Base por kg de calda</t>
        </is>
      </c>
      <c r="C28" s="7" t="inlineStr">
        <is>
          <t>Saborizante</t>
        </is>
      </c>
      <c r="D28" s="7" t="inlineStr">
        <is>
          <t>g/kg</t>
        </is>
      </c>
      <c r="E28" s="7" t="inlineStr">
        <is>
          <t>Proteína final</t>
        </is>
      </c>
    </row>
    <row r="29">
      <c r="A29" t="inlineStr">
        <is>
          <t>Café Proteico</t>
        </is>
      </c>
      <c r="B29" t="n">
        <v>943.2</v>
      </c>
      <c r="C29" t="inlineStr">
        <is>
          <t>Pasta Café Selecta</t>
        </is>
      </c>
      <c r="D29" t="n">
        <v>56.8</v>
      </c>
      <c r="E29" t="inlineStr">
        <is>
          <t>9,99%</t>
        </is>
      </c>
    </row>
    <row r="30">
      <c r="A30" t="inlineStr">
        <is>
          <t>Brigadeiro Proteico</t>
        </is>
      </c>
      <c r="B30" t="n">
        <v>961.5</v>
      </c>
      <c r="C30" t="inlineStr">
        <is>
          <t>Cacau 22/24</t>
        </is>
      </c>
      <c r="D30" t="n">
        <v>38.5</v>
      </c>
      <c r="E30" t="inlineStr">
        <is>
          <t>10,13%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6"/>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Café Proteico</t>
        </is>
      </c>
    </row>
    <row r="2">
      <c r="A2" s="2" t="inlineStr">
        <is>
          <t>linha BOOST · família de formulação: proteica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LEITE ZERO LACTOSE (INTEGRAL)</t>
        </is>
      </c>
      <c r="B5" s="11" t="inlineStr">
        <is>
          <t>leite integral zero lactose</t>
        </is>
      </c>
      <c r="C5" s="19" t="n">
        <v>655</v>
      </c>
      <c r="D5" s="20">
        <f>C5/SUM(C$5:C$13)</f>
        <v/>
      </c>
      <c r="E5" s="12" t="n">
        <v>82.242</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BASE MEC PROTEIN</t>
        </is>
      </c>
      <c r="B6" s="11" t="inlineStr">
        <is>
          <t>base proteica</t>
        </is>
      </c>
      <c r="C6" s="19" t="n">
        <v>123</v>
      </c>
      <c r="D6" s="20">
        <f>C6/SUM(C$5:C$13)</f>
        <v/>
      </c>
      <c r="E6" s="12" t="n">
        <v>15.444</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LEITE EM PO DESNATADO ZL (BATAVO PENSE ZERO)</t>
        </is>
      </c>
      <c r="B7" s="11" t="inlineStr">
        <is>
          <t>leite em po desnatado zl (batavo pense zero)</t>
        </is>
      </c>
      <c r="C7" s="19" t="n">
        <v>113.5</v>
      </c>
      <c r="D7" s="20">
        <f>C7/SUM(C$5:C$13)</f>
        <v/>
      </c>
      <c r="E7" s="12" t="n">
        <v>14.251</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PASTA CAFÉ SELECTA (BALDE 2 KG)</t>
        </is>
      </c>
      <c r="B8" s="11" t="inlineStr">
        <is>
          <t>pasta de café</t>
        </is>
      </c>
      <c r="C8" s="19" t="n">
        <v>56.8</v>
      </c>
      <c r="D8" s="20">
        <f>C8/SUM(C$5:C$13)</f>
        <v/>
      </c>
      <c r="E8" s="12" t="n">
        <v>7.132</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GLICEROL (GLICERINA BIDESTILADA)</t>
        </is>
      </c>
      <c r="B9" s="11" t="inlineStr">
        <is>
          <t>umectante glicerol</t>
        </is>
      </c>
      <c r="C9" s="19" t="n">
        <v>28.4</v>
      </c>
      <c r="D9" s="20">
        <f>C9/SUM(C$5:C$13)</f>
        <v/>
      </c>
      <c r="E9" s="12" t="n">
        <v>3.566</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POLIDEXTROSE</t>
        </is>
      </c>
      <c r="B10" s="11" t="inlineStr">
        <is>
          <t>polidextrose</t>
        </is>
      </c>
      <c r="C10" s="19" t="n">
        <v>18.9</v>
      </c>
      <c r="D10" s="20">
        <f>C10/SUM(C$5:C$13)</f>
        <v/>
      </c>
      <c r="E10" s="12" t="n">
        <v>2.373</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CREMOBENE PREMIUM (LIGA NEUTRA)</t>
        </is>
      </c>
      <c r="B11" s="11" t="inlineStr">
        <is>
          <t>cremobene premium (liga neutra)</t>
        </is>
      </c>
      <c r="C11" s="19" t="n">
        <v>2.9</v>
      </c>
      <c r="D11" s="20">
        <f>C11/SUM(C$5:C$13)</f>
        <v/>
      </c>
      <c r="E11" s="12" t="n">
        <v>0.364</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1" t="inlineStr">
        <is>
          <t>SAL</t>
        </is>
      </c>
      <c r="B12" s="11" t="inlineStr">
        <is>
          <t>sal</t>
        </is>
      </c>
      <c r="C12" s="19" t="n">
        <v>0.9</v>
      </c>
      <c r="D12" s="20">
        <f>C12/SUM(C$5:C$13)</f>
        <v/>
      </c>
      <c r="E12" s="12" t="n">
        <v>0.113</v>
      </c>
      <c r="F12" s="21">
        <f>IFERROR(VLOOKUP($A12,INSUMOS!$A$5:$N$28,4,FALSE),0)*$E12/100</f>
        <v/>
      </c>
      <c r="G12" s="21">
        <f>IFERROR(VLOOKUP($A12,INSUMOS!$A$5:$N$28,5,FALSE),0)*$E12/100</f>
        <v/>
      </c>
      <c r="H12" s="21">
        <f>IFERROR(VLOOKUP($A12,INSUMOS!$A$5:$N$28,6,FALSE),0)*$E12/100/100</f>
        <v/>
      </c>
      <c r="I12" s="21">
        <f>IFERROR(VLOOKUP($A12,INSUMOS!$A$5:$N$28,7,FALSE),0)*$E12/100</f>
        <v/>
      </c>
      <c r="J12" s="21">
        <f>IFERROR(VLOOKUP($A12,INSUMOS!$A$5:$N$28,8,FALSE),0)*$E12/100</f>
        <v/>
      </c>
      <c r="K12" s="21">
        <f>IFERROR(VLOOKUP($A12,INSUMOS!$A$5:$N$28,9,FALSE),0)*$E12/100</f>
        <v/>
      </c>
      <c r="L12" s="21">
        <f>IFERROR(VLOOKUP($A12,INSUMOS!$A$5:$N$28,10,FALSE),0)*$E12/100</f>
        <v/>
      </c>
      <c r="M12" s="21">
        <f>IFERROR(VLOOKUP($A12,INSUMOS!$A$5:$N$28,11,FALSE),0)*$E12/100</f>
        <v/>
      </c>
      <c r="N12" s="21">
        <f>IFERROR(VLOOKUP($A12,INSUMOS!$A$5:$N$28,12,FALSE),0)*$E12/100</f>
        <v/>
      </c>
      <c r="O12" s="21">
        <f>IFERROR(VLOOKUP($A12,INSUMOS!$A$5:$N$28,13,FALSE),0)*$E12/100</f>
        <v/>
      </c>
    </row>
    <row r="13">
      <c r="A13" s="11" t="inlineStr">
        <is>
          <t>STEVIA</t>
        </is>
      </c>
      <c r="B13" s="11" t="inlineStr">
        <is>
          <t>edulcorante glicosídeos de esteviol</t>
        </is>
      </c>
      <c r="C13" s="19" t="n">
        <v>0.6</v>
      </c>
      <c r="D13" s="20">
        <f>C13/SUM(C$5:C$13)</f>
        <v/>
      </c>
      <c r="E13" s="12" t="n">
        <v>0.075</v>
      </c>
      <c r="F13" s="21">
        <f>IFERROR(VLOOKUP($A13,INSUMOS!$A$5:$N$28,4,FALSE),0)*$E13/100</f>
        <v/>
      </c>
      <c r="G13" s="21">
        <f>IFERROR(VLOOKUP($A13,INSUMOS!$A$5:$N$28,5,FALSE),0)*$E13/100</f>
        <v/>
      </c>
      <c r="H13" s="21">
        <f>IFERROR(VLOOKUP($A13,INSUMOS!$A$5:$N$28,6,FALSE),0)*$E13/100/100</f>
        <v/>
      </c>
      <c r="I13" s="21">
        <f>IFERROR(VLOOKUP($A13,INSUMOS!$A$5:$N$28,7,FALSE),0)*$E13/100</f>
        <v/>
      </c>
      <c r="J13" s="21">
        <f>IFERROR(VLOOKUP($A13,INSUMOS!$A$5:$N$28,8,FALSE),0)*$E13/100</f>
        <v/>
      </c>
      <c r="K13" s="21">
        <f>IFERROR(VLOOKUP($A13,INSUMOS!$A$5:$N$28,9,FALSE),0)*$E13/100</f>
        <v/>
      </c>
      <c r="L13" s="21">
        <f>IFERROR(VLOOKUP($A13,INSUMOS!$A$5:$N$28,10,FALSE),0)*$E13/100</f>
        <v/>
      </c>
      <c r="M13" s="21">
        <f>IFERROR(VLOOKUP($A13,INSUMOS!$A$5:$N$28,11,FALSE),0)*$E13/100</f>
        <v/>
      </c>
      <c r="N13" s="21">
        <f>IFERROR(VLOOKUP($A13,INSUMOS!$A$5:$N$28,12,FALSE),0)*$E13/100</f>
        <v/>
      </c>
      <c r="O13" s="21">
        <f>IFERROR(VLOOKUP($A13,INSUMOS!$A$5:$N$28,13,FALSE),0)*$E13/100</f>
        <v/>
      </c>
    </row>
    <row r="14">
      <c r="A14" s="11" t="inlineStr">
        <is>
          <t>DELÍCIA DE AMENDOIM PROTEICO</t>
        </is>
      </c>
      <c r="B14" s="11" t="inlineStr">
        <is>
          <t>creme de amendoim proteico</t>
        </is>
      </c>
      <c r="C14" s="19" t="n">
        <v>115</v>
      </c>
      <c r="D14" s="20">
        <f>C14/SUM(C$5:C$13)</f>
        <v/>
      </c>
      <c r="E14" s="12" t="n">
        <v>14.439</v>
      </c>
      <c r="F14" s="21">
        <f>IFERROR(VLOOKUP($A14,INSUMOS!$A$5:$N$28,4,FALSE),0)*$E14/100</f>
        <v/>
      </c>
      <c r="G14" s="21">
        <f>IFERROR(VLOOKUP($A14,INSUMOS!$A$5:$N$28,5,FALSE),0)*$E14/100</f>
        <v/>
      </c>
      <c r="H14" s="21">
        <f>IFERROR(VLOOKUP($A14,INSUMOS!$A$5:$N$28,6,FALSE),0)*$E14/100/100</f>
        <v/>
      </c>
      <c r="I14" s="21">
        <f>IFERROR(VLOOKUP($A14,INSUMOS!$A$5:$N$28,7,FALSE),0)*$E14/100</f>
        <v/>
      </c>
      <c r="J14" s="21">
        <f>IFERROR(VLOOKUP($A14,INSUMOS!$A$5:$N$28,8,FALSE),0)*$E14/100</f>
        <v/>
      </c>
      <c r="K14" s="21">
        <f>IFERROR(VLOOKUP($A14,INSUMOS!$A$5:$N$28,9,FALSE),0)*$E14/100</f>
        <v/>
      </c>
      <c r="L14" s="21">
        <f>IFERROR(VLOOKUP($A14,INSUMOS!$A$5:$N$28,10,FALSE),0)*$E14/100</f>
        <v/>
      </c>
      <c r="M14" s="21">
        <f>IFERROR(VLOOKUP($A14,INSUMOS!$A$5:$N$28,11,FALSE),0)*$E14/100</f>
        <v/>
      </c>
      <c r="N14" s="21">
        <f>IFERROR(VLOOKUP($A14,INSUMOS!$A$5:$N$28,12,FALSE),0)*$E14/100</f>
        <v/>
      </c>
      <c r="O14" s="21">
        <f>IFERROR(VLOOKUP($A14,INSUMOS!$A$5:$N$28,13,FALSE),0)*$E14/100</f>
        <v/>
      </c>
    </row>
    <row r="15">
      <c r="A15" s="17" t="inlineStr">
        <is>
          <t>TOTAL NO POTE</t>
        </is>
      </c>
      <c r="B15" s="17" t="n"/>
      <c r="C15" s="22">
        <f>SUM(C5:C13)</f>
        <v/>
      </c>
      <c r="D15" s="17" t="n"/>
      <c r="E15" s="23">
        <f>SUM(E5:E14)</f>
        <v/>
      </c>
      <c r="F15" s="23">
        <f>SUM(F5:F14)</f>
        <v/>
      </c>
      <c r="G15" s="23">
        <f>SUM(G5:G14)</f>
        <v/>
      </c>
      <c r="H15" s="23">
        <f>SUM(H5:H14)</f>
        <v/>
      </c>
      <c r="I15" s="23">
        <f>SUM(I5:I14)</f>
        <v/>
      </c>
      <c r="J15" s="23">
        <f>SUM(J5:J14)</f>
        <v/>
      </c>
      <c r="K15" s="23">
        <f>SUM(K5:K14)</f>
        <v/>
      </c>
      <c r="L15" s="23">
        <f>SUM(L5:L14)</f>
        <v/>
      </c>
      <c r="M15" s="23">
        <f>SUM(M5:M14)</f>
        <v/>
      </c>
      <c r="N15" s="23">
        <f>SUM(N5:N14)</f>
        <v/>
      </c>
      <c r="O15" s="23">
        <f>SUM(O5:O14)</f>
        <v/>
      </c>
    </row>
    <row r="17">
      <c r="A17" s="3" t="inlineStr">
        <is>
          <t>POR 100 g DE PRODUTO</t>
        </is>
      </c>
    </row>
    <row r="18" ht="28" customHeight="1">
      <c r="A18" s="7" t="inlineStr">
        <is>
          <t>Componente</t>
        </is>
      </c>
      <c r="B18" s="7" t="inlineStr">
        <is>
          <t>Valor</t>
        </is>
      </c>
      <c r="C18" s="7" t="inlineStr">
        <is>
          <t>Unidade</t>
        </is>
      </c>
    </row>
    <row r="19">
      <c r="A19" t="inlineStr">
        <is>
          <t>Valor energético</t>
        </is>
      </c>
      <c r="B19" s="14">
        <f>F15/140*100</f>
        <v/>
      </c>
      <c r="C19" t="inlineStr">
        <is>
          <t>kcal</t>
        </is>
      </c>
    </row>
    <row r="20">
      <c r="A20" t="inlineStr">
        <is>
          <t>Açúcares totais (rótulo)</t>
        </is>
      </c>
      <c r="B20" s="14" t="n">
        <v>15.313</v>
      </c>
      <c r="C20" t="inlineStr">
        <is>
          <t>g</t>
        </is>
      </c>
    </row>
    <row r="21">
      <c r="A21" t="inlineStr">
        <is>
          <t xml:space="preserve">   dos quais adicionados</t>
        </is>
      </c>
      <c r="B21" s="14">
        <f>H15/140*100</f>
        <v/>
      </c>
      <c r="C21" t="inlineStr">
        <is>
          <t>g</t>
        </is>
      </c>
    </row>
    <row r="22">
      <c r="A22" t="inlineStr">
        <is>
          <t>Polióis</t>
        </is>
      </c>
      <c r="B22" s="14" t="n">
        <v>0</v>
      </c>
      <c r="C22" t="inlineStr">
        <is>
          <t>g</t>
        </is>
      </c>
    </row>
    <row r="23">
      <c r="A23" t="inlineStr">
        <is>
          <t>Fibras alimentares</t>
        </is>
      </c>
      <c r="B23" s="14">
        <f>M15/140*100</f>
        <v/>
      </c>
      <c r="C23" t="inlineStr">
        <is>
          <t>g</t>
        </is>
      </c>
    </row>
    <row r="24">
      <c r="A24" t="inlineStr">
        <is>
          <t>Proteínas</t>
        </is>
      </c>
      <c r="B24" s="14">
        <f>L15/140*100</f>
        <v/>
      </c>
      <c r="C24" t="inlineStr">
        <is>
          <t>g</t>
        </is>
      </c>
    </row>
    <row r="25">
      <c r="A25" t="inlineStr">
        <is>
          <t>Gorduras totais</t>
        </is>
      </c>
      <c r="B25" s="14">
        <f>I15/140*100</f>
        <v/>
      </c>
      <c r="C25" t="inlineStr">
        <is>
          <t>g</t>
        </is>
      </c>
    </row>
    <row r="26">
      <c r="A26" t="inlineStr">
        <is>
          <t xml:space="preserve">   das quais saturadas</t>
        </is>
      </c>
      <c r="B26" s="14">
        <f>J15/140*100</f>
        <v/>
      </c>
      <c r="C26" t="inlineStr">
        <is>
          <t>g</t>
        </is>
      </c>
    </row>
    <row r="27">
      <c r="A27" t="inlineStr">
        <is>
          <t xml:space="preserve">   das quais trans</t>
        </is>
      </c>
      <c r="B27" s="14">
        <f>K15/140*100</f>
        <v/>
      </c>
      <c r="C27" t="inlineStr">
        <is>
          <t>g</t>
        </is>
      </c>
    </row>
    <row r="28">
      <c r="A28" t="inlineStr">
        <is>
          <t>Sódio</t>
        </is>
      </c>
      <c r="B28" s="14">
        <f>O15/140*100</f>
        <v/>
      </c>
      <c r="C28" t="inlineStr">
        <is>
          <t>mg</t>
        </is>
      </c>
    </row>
    <row r="29">
      <c r="A29" t="inlineStr">
        <is>
          <t>Sólidos totais</t>
        </is>
      </c>
      <c r="B29" s="14">
        <f>N15/140*100</f>
        <v/>
      </c>
      <c r="C29" t="inlineStr">
        <is>
          <t>g</t>
        </is>
      </c>
    </row>
    <row r="30">
      <c r="A30" s="2" t="inlineStr">
        <is>
          <t>Açúcares técnicos (uso interno)</t>
        </is>
      </c>
      <c r="B30" s="24" t="n">
        <v>15.313</v>
      </c>
      <c r="C30" s="2" t="inlineStr">
        <is>
          <t>g</t>
        </is>
      </c>
    </row>
    <row r="32">
      <c r="A32" s="3" t="inlineStr">
        <is>
          <t>PARÂMETROS DA CALDA</t>
        </is>
      </c>
    </row>
    <row r="33">
      <c r="A33" t="inlineStr">
        <is>
          <t>Sólidos totais</t>
        </is>
      </c>
      <c r="B33" s="14" t="n">
        <v>39.32</v>
      </c>
      <c r="C33" t="inlineStr">
        <is>
          <t>%</t>
        </is>
      </c>
    </row>
    <row r="34">
      <c r="A34" t="inlineStr">
        <is>
          <t>Água</t>
        </is>
      </c>
      <c r="B34" s="14" t="n">
        <v>60.68</v>
      </c>
      <c r="C34" t="inlineStr">
        <is>
          <t>%</t>
        </is>
      </c>
    </row>
    <row r="35">
      <c r="A35" t="inlineStr">
        <is>
          <t>Gordura</t>
        </is>
      </c>
      <c r="B35" s="14" t="n">
        <v>4.5</v>
      </c>
      <c r="C35" t="inlineStr">
        <is>
          <t>%</t>
        </is>
      </c>
    </row>
    <row r="36">
      <c r="A36" t="inlineStr">
        <is>
          <t>Proteína</t>
        </is>
      </c>
      <c r="B36" s="14" t="n">
        <v>9.99</v>
      </c>
      <c r="C36" t="inlineStr">
        <is>
          <t>%</t>
        </is>
      </c>
    </row>
    <row r="37">
      <c r="A37" t="inlineStr">
        <is>
          <t>POD</t>
        </is>
      </c>
      <c r="B37" s="14" t="n">
        <v>180.37</v>
      </c>
      <c r="C37" t="inlineStr"/>
    </row>
    <row r="38">
      <c r="A38" t="inlineStr">
        <is>
          <t>PAC</t>
        </is>
      </c>
      <c r="B38" s="14" t="n">
        <v>353.73</v>
      </c>
      <c r="C38" t="inlineStr"/>
    </row>
    <row r="39">
      <c r="A39" t="inlineStr">
        <is>
          <t>Janela de consumo</t>
        </is>
      </c>
      <c r="B39" s="14" t="inlineStr">
        <is>
          <t>-15.1 a -19.8</t>
        </is>
      </c>
      <c r="C39" t="inlineStr">
        <is>
          <t>°C</t>
        </is>
      </c>
    </row>
    <row r="40">
      <c r="A40" t="inlineStr">
        <is>
          <t>Água congelada a −8 °C</t>
        </is>
      </c>
      <c r="B40" s="14" t="n">
        <v>60.37</v>
      </c>
      <c r="C40" t="inlineStr">
        <is>
          <t>%</t>
        </is>
      </c>
    </row>
    <row r="42">
      <c r="A42" s="3" t="inlineStr">
        <is>
          <t>LISTA DE INGREDIENTES — RDC 727/2022</t>
        </is>
      </c>
    </row>
    <row r="43" ht="46" customHeight="1">
      <c r="A43" s="4" t="inlineStr">
        <is>
          <t>Ingredientes: leite integral zero lactose, base proteica, creme de amendoim proteico, leite em po desnatado zl (batavo pense zero), pasta de café, umectante glicerol, polidextrose, cremobene premium (liga neutra), sal, edulcorante glicosídeos de esteviol.</t>
        </is>
      </c>
    </row>
    <row r="44">
      <c r="A44" s="3" t="inlineStr">
        <is>
          <t>ALÉRGICOS: CONTÉM LEITE, AMENDOIM.</t>
        </is>
      </c>
    </row>
    <row r="45">
      <c r="A45" t="inlineStr">
        <is>
          <t>Selos: FONTE DE FIBRAS · FONTE DE PROTEÍNA · SEM ADIÇÃO DE AÇÚCARES</t>
        </is>
      </c>
    </row>
    <row r="46">
      <c r="A46" t="inlineStr">
        <is>
          <t>Lupa frontal: nenhuma</t>
        </is>
      </c>
    </row>
  </sheetData>
  <mergeCells count="1">
    <mergeCell ref="A43:H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Pistache</t>
        </is>
      </c>
    </row>
    <row r="2">
      <c r="A2" s="2" t="inlineStr">
        <is>
          <t>linha SPECIAL · família de formulação: proteica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LEITE ZERO LACTOSE (INTEGRAL)</t>
        </is>
      </c>
      <c r="B5" s="11" t="inlineStr">
        <is>
          <t>leite integral zero lactose</t>
        </is>
      </c>
      <c r="C5" s="19" t="n">
        <v>654.8</v>
      </c>
      <c r="D5" s="20">
        <f>C5/SUM(C$5:C$12)</f>
        <v/>
      </c>
      <c r="E5" s="12" t="n">
        <v>91.672</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MIX OFICIAL</t>
        </is>
      </c>
      <c r="B6" s="11" t="inlineStr">
        <is>
          <t>mix oficial</t>
        </is>
      </c>
      <c r="C6" s="19" t="n">
        <v>120</v>
      </c>
      <c r="D6" s="20">
        <f>C6/SUM(C$5:C$12)</f>
        <v/>
      </c>
      <c r="E6" s="12" t="n">
        <v>16.8</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PASTA PISTACCHIO 100% CALIFÓRNIA</t>
        </is>
      </c>
      <c r="B7" s="11" t="inlineStr">
        <is>
          <t>pasta de pistache</t>
        </is>
      </c>
      <c r="C7" s="19" t="n">
        <v>90</v>
      </c>
      <c r="D7" s="20">
        <f>C7/SUM(C$5:C$12)</f>
        <v/>
      </c>
      <c r="E7" s="12" t="n">
        <v>12.6</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CREME DE LEITE FRESCO 35% ZL (VERDE CAMPO LACFREE)</t>
        </is>
      </c>
      <c r="B8" s="11" t="inlineStr">
        <is>
          <t>creme de leite zero lactose</t>
        </is>
      </c>
      <c r="C8" s="19" t="n">
        <v>62</v>
      </c>
      <c r="D8" s="20">
        <f>C8/SUM(C$5:C$12)</f>
        <v/>
      </c>
      <c r="E8" s="12" t="n">
        <v>8.68</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LEITE EM PO DESNATADO ZL (BATAVO PENSE ZERO)</t>
        </is>
      </c>
      <c r="B9" s="11" t="inlineStr">
        <is>
          <t>leite em po desnatado zl (batavo pense zero)</t>
        </is>
      </c>
      <c r="C9" s="19" t="n">
        <v>33</v>
      </c>
      <c r="D9" s="20">
        <f>C9/SUM(C$5:C$12)</f>
        <v/>
      </c>
      <c r="E9" s="12" t="n">
        <v>4.62</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ERITRITOL</t>
        </is>
      </c>
      <c r="B10" s="11" t="inlineStr">
        <is>
          <t>eritritol</t>
        </is>
      </c>
      <c r="C10" s="19" t="n">
        <v>20</v>
      </c>
      <c r="D10" s="20">
        <f>C10/SUM(C$5:C$12)</f>
        <v/>
      </c>
      <c r="E10" s="12" t="n">
        <v>2.8</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GLICEROL (GLICERINA BIDESTILADA)</t>
        </is>
      </c>
      <c r="B11" s="11" t="inlineStr">
        <is>
          <t>umectante glicerol</t>
        </is>
      </c>
      <c r="C11" s="19" t="n">
        <v>15</v>
      </c>
      <c r="D11" s="20">
        <f>C11/SUM(C$5:C$12)</f>
        <v/>
      </c>
      <c r="E11" s="12" t="n">
        <v>2.1</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1" t="inlineStr">
        <is>
          <t>CREMOBENE PREMIUM (LIGA NEUTRA)</t>
        </is>
      </c>
      <c r="B12" s="11" t="inlineStr">
        <is>
          <t>cremobene premium (liga neutra)</t>
        </is>
      </c>
      <c r="C12" s="19" t="n">
        <v>5.2</v>
      </c>
      <c r="D12" s="20">
        <f>C12/SUM(C$5:C$12)</f>
        <v/>
      </c>
      <c r="E12" s="12" t="n">
        <v>0.728</v>
      </c>
      <c r="F12" s="21">
        <f>IFERROR(VLOOKUP($A12,INSUMOS!$A$5:$N$28,4,FALSE),0)*$E12/100</f>
        <v/>
      </c>
      <c r="G12" s="21">
        <f>IFERROR(VLOOKUP($A12,INSUMOS!$A$5:$N$28,5,FALSE),0)*$E12/100</f>
        <v/>
      </c>
      <c r="H12" s="21">
        <f>IFERROR(VLOOKUP($A12,INSUMOS!$A$5:$N$28,6,FALSE),0)*$E12/100/100</f>
        <v/>
      </c>
      <c r="I12" s="21">
        <f>IFERROR(VLOOKUP($A12,INSUMOS!$A$5:$N$28,7,FALSE),0)*$E12/100</f>
        <v/>
      </c>
      <c r="J12" s="21">
        <f>IFERROR(VLOOKUP($A12,INSUMOS!$A$5:$N$28,8,FALSE),0)*$E12/100</f>
        <v/>
      </c>
      <c r="K12" s="21">
        <f>IFERROR(VLOOKUP($A12,INSUMOS!$A$5:$N$28,9,FALSE),0)*$E12/100</f>
        <v/>
      </c>
      <c r="L12" s="21">
        <f>IFERROR(VLOOKUP($A12,INSUMOS!$A$5:$N$28,10,FALSE),0)*$E12/100</f>
        <v/>
      </c>
      <c r="M12" s="21">
        <f>IFERROR(VLOOKUP($A12,INSUMOS!$A$5:$N$28,11,FALSE),0)*$E12/100</f>
        <v/>
      </c>
      <c r="N12" s="21">
        <f>IFERROR(VLOOKUP($A12,INSUMOS!$A$5:$N$28,12,FALSE),0)*$E12/100</f>
        <v/>
      </c>
      <c r="O12" s="21">
        <f>IFERROR(VLOOKUP($A12,INSUMOS!$A$5:$N$28,13,FALSE),0)*$E12/100</f>
        <v/>
      </c>
    </row>
    <row r="13">
      <c r="A13" s="17" t="inlineStr">
        <is>
          <t>TOTAL NO POTE</t>
        </is>
      </c>
      <c r="B13" s="17" t="n"/>
      <c r="C13" s="22">
        <f>SUM(C5:C12)</f>
        <v/>
      </c>
      <c r="D13" s="17" t="n"/>
      <c r="E13" s="23">
        <f>SUM(E5:E12)</f>
        <v/>
      </c>
      <c r="F13" s="23">
        <f>SUM(F5:F12)</f>
        <v/>
      </c>
      <c r="G13" s="23">
        <f>SUM(G5:G12)</f>
        <v/>
      </c>
      <c r="H13" s="23">
        <f>SUM(H5:H12)</f>
        <v/>
      </c>
      <c r="I13" s="23">
        <f>SUM(I5:I12)</f>
        <v/>
      </c>
      <c r="J13" s="23">
        <f>SUM(J5:J12)</f>
        <v/>
      </c>
      <c r="K13" s="23">
        <f>SUM(K5:K12)</f>
        <v/>
      </c>
      <c r="L13" s="23">
        <f>SUM(L5:L12)</f>
        <v/>
      </c>
      <c r="M13" s="23">
        <f>SUM(M5:M12)</f>
        <v/>
      </c>
      <c r="N13" s="23">
        <f>SUM(N5:N12)</f>
        <v/>
      </c>
      <c r="O13" s="23">
        <f>SUM(O5:O12)</f>
        <v/>
      </c>
    </row>
    <row r="15">
      <c r="A15" s="3" t="inlineStr">
        <is>
          <t>POR 100 g DE PRODUTO</t>
        </is>
      </c>
    </row>
    <row r="16" ht="28" customHeight="1">
      <c r="A16" s="7" t="inlineStr">
        <is>
          <t>Componente</t>
        </is>
      </c>
      <c r="B16" s="7" t="inlineStr">
        <is>
          <t>Valor</t>
        </is>
      </c>
      <c r="C16" s="7" t="inlineStr">
        <is>
          <t>Unidade</t>
        </is>
      </c>
    </row>
    <row r="17">
      <c r="A17" t="inlineStr">
        <is>
          <t>Valor energético</t>
        </is>
      </c>
      <c r="B17" s="14">
        <f>F13/140*100</f>
        <v/>
      </c>
      <c r="C17" t="inlineStr">
        <is>
          <t>kcal</t>
        </is>
      </c>
    </row>
    <row r="18">
      <c r="A18" t="inlineStr">
        <is>
          <t>Açúcares totais (rótulo)</t>
        </is>
      </c>
      <c r="B18" s="14" t="n">
        <v>7.254</v>
      </c>
      <c r="C18" t="inlineStr">
        <is>
          <t>g</t>
        </is>
      </c>
    </row>
    <row r="19">
      <c r="A19" t="inlineStr">
        <is>
          <t xml:space="preserve">   dos quais adicionados</t>
        </is>
      </c>
      <c r="B19" s="14">
        <f>H13/140*100</f>
        <v/>
      </c>
      <c r="C19" t="inlineStr">
        <is>
          <t>g</t>
        </is>
      </c>
    </row>
    <row r="20">
      <c r="A20" t="inlineStr">
        <is>
          <t>Polióis</t>
        </is>
      </c>
      <c r="B20" s="14" t="n">
        <v>6.622</v>
      </c>
      <c r="C20" t="inlineStr">
        <is>
          <t>g</t>
        </is>
      </c>
    </row>
    <row r="21">
      <c r="A21" t="inlineStr">
        <is>
          <t>Fibras alimentares</t>
        </is>
      </c>
      <c r="B21" s="14">
        <f>M13/140*100</f>
        <v/>
      </c>
      <c r="C21" t="inlineStr">
        <is>
          <t>g</t>
        </is>
      </c>
    </row>
    <row r="22">
      <c r="A22" t="inlineStr">
        <is>
          <t>Proteínas</t>
        </is>
      </c>
      <c r="B22" s="14">
        <f>L13/140*100</f>
        <v/>
      </c>
      <c r="C22" t="inlineStr">
        <is>
          <t>g</t>
        </is>
      </c>
    </row>
    <row r="23">
      <c r="A23" t="inlineStr">
        <is>
          <t>Gorduras totais</t>
        </is>
      </c>
      <c r="B23" s="14">
        <f>I13/140*100</f>
        <v/>
      </c>
      <c r="C23" t="inlineStr">
        <is>
          <t>g</t>
        </is>
      </c>
    </row>
    <row r="24">
      <c r="A24" t="inlineStr">
        <is>
          <t xml:space="preserve">   das quais saturadas</t>
        </is>
      </c>
      <c r="B24" s="14">
        <f>J13/140*100</f>
        <v/>
      </c>
      <c r="C24" t="inlineStr">
        <is>
          <t>g</t>
        </is>
      </c>
    </row>
    <row r="25">
      <c r="A25" t="inlineStr">
        <is>
          <t xml:space="preserve">   das quais trans</t>
        </is>
      </c>
      <c r="B25" s="14">
        <f>K13/140*100</f>
        <v/>
      </c>
      <c r="C25" t="inlineStr">
        <is>
          <t>g</t>
        </is>
      </c>
    </row>
    <row r="26">
      <c r="A26" t="inlineStr">
        <is>
          <t>Sódio</t>
        </is>
      </c>
      <c r="B26" s="14">
        <f>O13/140*100</f>
        <v/>
      </c>
      <c r="C26" t="inlineStr">
        <is>
          <t>mg</t>
        </is>
      </c>
    </row>
    <row r="27">
      <c r="A27" t="inlineStr">
        <is>
          <t>Sólidos totais</t>
        </is>
      </c>
      <c r="B27" s="14">
        <f>N13/140*100</f>
        <v/>
      </c>
      <c r="C27" t="inlineStr">
        <is>
          <t>g</t>
        </is>
      </c>
    </row>
    <row r="28">
      <c r="A28" s="2" t="inlineStr">
        <is>
          <t>Açúcares técnicos (uso interno)</t>
        </is>
      </c>
      <c r="B28" s="24" t="n">
        <v>13.876</v>
      </c>
      <c r="C28" s="2" t="inlineStr">
        <is>
          <t>g</t>
        </is>
      </c>
    </row>
    <row r="30">
      <c r="A30" s="3" t="inlineStr">
        <is>
          <t>PARÂMETROS DA CALDA</t>
        </is>
      </c>
    </row>
    <row r="31">
      <c r="A31" t="inlineStr">
        <is>
          <t>Sólidos totais</t>
        </is>
      </c>
      <c r="B31" s="14" t="n">
        <v>38.22</v>
      </c>
      <c r="C31" t="inlineStr">
        <is>
          <t>%</t>
        </is>
      </c>
    </row>
    <row r="32">
      <c r="A32" t="inlineStr">
        <is>
          <t>Água</t>
        </is>
      </c>
      <c r="B32" s="14" t="n">
        <v>61.78</v>
      </c>
      <c r="C32" t="inlineStr">
        <is>
          <t>%</t>
        </is>
      </c>
    </row>
    <row r="33">
      <c r="A33" t="inlineStr">
        <is>
          <t>Gordura</t>
        </is>
      </c>
      <c r="B33" s="14" t="n">
        <v>9.5</v>
      </c>
      <c r="C33" t="inlineStr">
        <is>
          <t>%</t>
        </is>
      </c>
    </row>
    <row r="34">
      <c r="A34" t="inlineStr">
        <is>
          <t>Proteína</t>
        </is>
      </c>
      <c r="B34" s="14" t="n">
        <v>6.25</v>
      </c>
      <c r="C34" t="inlineStr">
        <is>
          <t>%</t>
        </is>
      </c>
    </row>
    <row r="35">
      <c r="A35" t="inlineStr">
        <is>
          <t>POD</t>
        </is>
      </c>
      <c r="B35" s="14" t="n">
        <v>148.02</v>
      </c>
      <c r="C35" t="inlineStr"/>
    </row>
    <row r="36">
      <c r="A36" t="inlineStr">
        <is>
          <t>PAC</t>
        </is>
      </c>
      <c r="B36" s="14" t="n">
        <v>330.15</v>
      </c>
      <c r="C36" t="inlineStr"/>
    </row>
    <row r="37">
      <c r="A37" t="inlineStr">
        <is>
          <t>Janela de consumo</t>
        </is>
      </c>
      <c r="B37" s="14" t="inlineStr">
        <is>
          <t>-13.8 a -18.2</t>
        </is>
      </c>
      <c r="C37" t="inlineStr">
        <is>
          <t>°C</t>
        </is>
      </c>
    </row>
    <row r="38">
      <c r="A38" t="inlineStr">
        <is>
          <t>Água congelada a −8 °C</t>
        </is>
      </c>
      <c r="B38" s="14" t="n">
        <v>63.67</v>
      </c>
      <c r="C38" t="inlineStr">
        <is>
          <t>%</t>
        </is>
      </c>
    </row>
    <row r="40">
      <c r="A40" s="3" t="inlineStr">
        <is>
          <t>LISTA DE INGREDIENTES — RDC 727/2022</t>
        </is>
      </c>
    </row>
    <row r="41" ht="46" customHeight="1">
      <c r="A41" s="4" t="inlineStr">
        <is>
          <t>Ingredientes: leite integral zero lactose, pasta de pistache, polidextrose, creme de leite zero lactose, eritritol, leite em po desnatado zl (batavo pense zero), maltitol, umectante glicerol, inulina, cremobene premium (liga neutra), edulcorante glicosídeos de esteviol.</t>
        </is>
      </c>
    </row>
    <row r="42">
      <c r="A42" s="3" t="inlineStr">
        <is>
          <t>ALÉRGICOS: CONTÉM LEITE, PISTACHE.</t>
        </is>
      </c>
    </row>
    <row r="43">
      <c r="A43" t="inlineStr">
        <is>
          <t>Selos: ALTO TEOR DE FIBRAS · FONTE DE PROTEÍNA · SEM ADIÇÃO DE AÇÚCARES</t>
        </is>
      </c>
    </row>
    <row r="44">
      <c r="A44" t="inlineStr">
        <is>
          <t>Lupa frontal: nenhuma</t>
        </is>
      </c>
    </row>
  </sheetData>
  <mergeCells count="1">
    <mergeCell ref="A41:H4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2"/>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Manga com Maracujá</t>
        </is>
      </c>
    </row>
    <row r="2">
      <c r="A2" s="2" t="inlineStr">
        <is>
          <t>linha FRESH · família de formulação: fruta / agua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MANGA</t>
        </is>
      </c>
      <c r="B5" s="11" t="inlineStr">
        <is>
          <t>polpa de manga</t>
        </is>
      </c>
      <c r="C5" s="19" t="n">
        <v>479</v>
      </c>
      <c r="D5" s="20">
        <f>C5/SUM(C$5:C$11)</f>
        <v/>
      </c>
      <c r="E5" s="12" t="n">
        <v>67.06</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MARACUJA (POLPA)</t>
        </is>
      </c>
      <c r="B6" s="11" t="inlineStr">
        <is>
          <t>polpa de maracujá</t>
        </is>
      </c>
      <c r="C6" s="19" t="n">
        <v>235</v>
      </c>
      <c r="D6" s="20">
        <f>C6/SUM(C$5:C$11)</f>
        <v/>
      </c>
      <c r="E6" s="12" t="n">
        <v>32.9</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MIX OFICIAL</t>
        </is>
      </c>
      <c r="B7" s="11" t="inlineStr">
        <is>
          <t>mix oficial</t>
        </is>
      </c>
      <c r="C7" s="19" t="n">
        <v>120</v>
      </c>
      <c r="D7" s="20">
        <f>C7/SUM(C$5:C$11)</f>
        <v/>
      </c>
      <c r="E7" s="12" t="n">
        <v>16.8</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AGUA</t>
        </is>
      </c>
      <c r="B8" s="11" t="inlineStr">
        <is>
          <t>água</t>
        </is>
      </c>
      <c r="C8" s="19" t="n">
        <v>78</v>
      </c>
      <c r="D8" s="20">
        <f>C8/SUM(C$5:C$11)</f>
        <v/>
      </c>
      <c r="E8" s="12" t="n">
        <v>10.92</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POLIDEXTROSE</t>
        </is>
      </c>
      <c r="B9" s="11" t="inlineStr">
        <is>
          <t>polidextrose</t>
        </is>
      </c>
      <c r="C9" s="19" t="n">
        <v>70</v>
      </c>
      <c r="D9" s="20">
        <f>C9/SUM(C$5:C$11)</f>
        <v/>
      </c>
      <c r="E9" s="12" t="n">
        <v>9.800000000000001</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GLICEROL (GLICERINA BIDESTILADA)</t>
        </is>
      </c>
      <c r="B10" s="11" t="inlineStr">
        <is>
          <t>umectante glicerol</t>
        </is>
      </c>
      <c r="C10" s="19" t="n">
        <v>15</v>
      </c>
      <c r="D10" s="20">
        <f>C10/SUM(C$5:C$11)</f>
        <v/>
      </c>
      <c r="E10" s="12" t="n">
        <v>2.1</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CREMOBENE PREMIUM (LIGA NEUTRA)</t>
        </is>
      </c>
      <c r="B11" s="11" t="inlineStr">
        <is>
          <t>cremobene premium (liga neutra)</t>
        </is>
      </c>
      <c r="C11" s="19" t="n">
        <v>3</v>
      </c>
      <c r="D11" s="20">
        <f>C11/SUM(C$5:C$11)</f>
        <v/>
      </c>
      <c r="E11" s="12" t="n">
        <v>0.42</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7" t="inlineStr">
        <is>
          <t>TOTAL NO POTE</t>
        </is>
      </c>
      <c r="B12" s="17" t="n"/>
      <c r="C12" s="22">
        <f>SUM(C5:C11)</f>
        <v/>
      </c>
      <c r="D12" s="17" t="n"/>
      <c r="E12" s="23">
        <f>SUM(E5:E11)</f>
        <v/>
      </c>
      <c r="F12" s="23">
        <f>SUM(F5:F11)</f>
        <v/>
      </c>
      <c r="G12" s="23">
        <f>SUM(G5:G11)</f>
        <v/>
      </c>
      <c r="H12" s="23">
        <f>SUM(H5:H11)</f>
        <v/>
      </c>
      <c r="I12" s="23">
        <f>SUM(I5:I11)</f>
        <v/>
      </c>
      <c r="J12" s="23">
        <f>SUM(J5:J11)</f>
        <v/>
      </c>
      <c r="K12" s="23">
        <f>SUM(K5:K11)</f>
        <v/>
      </c>
      <c r="L12" s="23">
        <f>SUM(L5:L11)</f>
        <v/>
      </c>
      <c r="M12" s="23">
        <f>SUM(M5:M11)</f>
        <v/>
      </c>
      <c r="N12" s="23">
        <f>SUM(N5:N11)</f>
        <v/>
      </c>
      <c r="O12" s="23">
        <f>SUM(O5:O11)</f>
        <v/>
      </c>
    </row>
    <row r="14">
      <c r="A14" s="3" t="inlineStr">
        <is>
          <t>POR 100 g DE PRODUTO</t>
        </is>
      </c>
    </row>
    <row r="15" ht="28" customHeight="1">
      <c r="A15" s="7" t="inlineStr">
        <is>
          <t>Componente</t>
        </is>
      </c>
      <c r="B15" s="7" t="inlineStr">
        <is>
          <t>Valor</t>
        </is>
      </c>
      <c r="C15" s="7" t="inlineStr">
        <is>
          <t>Unidade</t>
        </is>
      </c>
    </row>
    <row r="16">
      <c r="A16" t="inlineStr">
        <is>
          <t>Valor energético</t>
        </is>
      </c>
      <c r="B16" s="14">
        <f>F12/140*100</f>
        <v/>
      </c>
      <c r="C16" t="inlineStr">
        <is>
          <t>kcal</t>
        </is>
      </c>
    </row>
    <row r="17">
      <c r="A17" t="inlineStr">
        <is>
          <t>Açúcares totais (rótulo)</t>
        </is>
      </c>
      <c r="B17" s="14" t="n">
        <v>12.258</v>
      </c>
      <c r="C17" t="inlineStr">
        <is>
          <t>g</t>
        </is>
      </c>
    </row>
    <row r="18">
      <c r="A18" t="inlineStr">
        <is>
          <t xml:space="preserve">   dos quais adicionados</t>
        </is>
      </c>
      <c r="B18" s="14">
        <f>H12/140*100</f>
        <v/>
      </c>
      <c r="C18" t="inlineStr">
        <is>
          <t>g</t>
        </is>
      </c>
    </row>
    <row r="19">
      <c r="A19" t="inlineStr">
        <is>
          <t>Polióis</t>
        </is>
      </c>
      <c r="B19" s="14" t="n">
        <v>4.622</v>
      </c>
      <c r="C19" t="inlineStr">
        <is>
          <t>g</t>
        </is>
      </c>
    </row>
    <row r="20">
      <c r="A20" t="inlineStr">
        <is>
          <t>Fibras alimentares</t>
        </is>
      </c>
      <c r="B20" s="14">
        <f>M12/140*100</f>
        <v/>
      </c>
      <c r="C20" t="inlineStr">
        <is>
          <t>g</t>
        </is>
      </c>
    </row>
    <row r="21">
      <c r="A21" t="inlineStr">
        <is>
          <t>Proteínas</t>
        </is>
      </c>
      <c r="B21" s="14">
        <f>L12/140*100</f>
        <v/>
      </c>
      <c r="C21" t="inlineStr">
        <is>
          <t>g</t>
        </is>
      </c>
    </row>
    <row r="22">
      <c r="A22" t="inlineStr">
        <is>
          <t>Gorduras totais</t>
        </is>
      </c>
      <c r="B22" s="14">
        <f>I12/140*100</f>
        <v/>
      </c>
      <c r="C22" t="inlineStr">
        <is>
          <t>g</t>
        </is>
      </c>
    </row>
    <row r="23">
      <c r="A23" t="inlineStr">
        <is>
          <t xml:space="preserve">   das quais saturadas</t>
        </is>
      </c>
      <c r="B23" s="14">
        <f>J12/140*100</f>
        <v/>
      </c>
      <c r="C23" t="inlineStr">
        <is>
          <t>g</t>
        </is>
      </c>
    </row>
    <row r="24">
      <c r="A24" t="inlineStr">
        <is>
          <t xml:space="preserve">   das quais trans</t>
        </is>
      </c>
      <c r="B24" s="14">
        <f>K12/140*100</f>
        <v/>
      </c>
      <c r="C24" t="inlineStr">
        <is>
          <t>g</t>
        </is>
      </c>
    </row>
    <row r="25">
      <c r="A25" t="inlineStr">
        <is>
          <t>Sódio</t>
        </is>
      </c>
      <c r="B25" s="14">
        <f>O12/140*100</f>
        <v/>
      </c>
      <c r="C25" t="inlineStr">
        <is>
          <t>mg</t>
        </is>
      </c>
    </row>
    <row r="26">
      <c r="A26" t="inlineStr">
        <is>
          <t>Sólidos totais</t>
        </is>
      </c>
      <c r="B26" s="14">
        <f>N12/140*100</f>
        <v/>
      </c>
      <c r="C26" t="inlineStr">
        <is>
          <t>g</t>
        </is>
      </c>
    </row>
    <row r="27">
      <c r="A27" s="2" t="inlineStr">
        <is>
          <t>Açúcares técnicos (uso interno)</t>
        </is>
      </c>
      <c r="B27" s="24" t="n">
        <v>16.879</v>
      </c>
      <c r="C27" s="2" t="inlineStr">
        <is>
          <t>g</t>
        </is>
      </c>
    </row>
    <row r="29">
      <c r="A29" s="3" t="inlineStr">
        <is>
          <t>PARÂMETROS DA CALDA</t>
        </is>
      </c>
    </row>
    <row r="30">
      <c r="A30" t="inlineStr">
        <is>
          <t>Sólidos totais</t>
        </is>
      </c>
      <c r="B30" s="14" t="n">
        <v>31.96</v>
      </c>
      <c r="C30" t="inlineStr">
        <is>
          <t>%</t>
        </is>
      </c>
    </row>
    <row r="31">
      <c r="A31" t="inlineStr">
        <is>
          <t>Água</t>
        </is>
      </c>
      <c r="B31" s="14" t="n">
        <v>68.04000000000001</v>
      </c>
      <c r="C31" t="inlineStr">
        <is>
          <t>%</t>
        </is>
      </c>
    </row>
    <row r="32">
      <c r="A32" t="inlineStr">
        <is>
          <t>Gordura</t>
        </is>
      </c>
      <c r="B32" s="14" t="n">
        <v>0.42</v>
      </c>
      <c r="C32" t="inlineStr">
        <is>
          <t>%</t>
        </is>
      </c>
    </row>
    <row r="33">
      <c r="A33" t="inlineStr">
        <is>
          <t>Proteína</t>
        </is>
      </c>
      <c r="B33" s="14" t="n">
        <v>0.76</v>
      </c>
      <c r="C33" t="inlineStr">
        <is>
          <t>%</t>
        </is>
      </c>
    </row>
    <row r="34">
      <c r="A34" t="inlineStr">
        <is>
          <t>POD</t>
        </is>
      </c>
      <c r="B34" s="14" t="n">
        <v>226.58</v>
      </c>
      <c r="C34" t="inlineStr"/>
    </row>
    <row r="35">
      <c r="A35" t="inlineStr">
        <is>
          <t>PAC</t>
        </is>
      </c>
      <c r="B35" s="14" t="n">
        <v>389.19</v>
      </c>
      <c r="C35" t="inlineStr"/>
    </row>
    <row r="36">
      <c r="A36" t="inlineStr">
        <is>
          <t>Janela de consumo</t>
        </is>
      </c>
      <c r="B36" s="14" t="inlineStr">
        <is>
          <t>-14.8 a -19.4</t>
        </is>
      </c>
      <c r="C36" t="inlineStr">
        <is>
          <t>°C</t>
        </is>
      </c>
    </row>
    <row r="37">
      <c r="A37" t="inlineStr">
        <is>
          <t>Água congelada a −8 °C</t>
        </is>
      </c>
      <c r="B37" s="14" t="n">
        <v>61.11</v>
      </c>
      <c r="C37" t="inlineStr">
        <is>
          <t>%</t>
        </is>
      </c>
    </row>
    <row r="39">
      <c r="A39" s="3" t="inlineStr">
        <is>
          <t>LISTA DE INGREDIENTES — RDC 727/2022</t>
        </is>
      </c>
    </row>
    <row r="40" ht="46" customHeight="1">
      <c r="A40" s="4" t="inlineStr">
        <is>
          <t>Ingredientes: polpa de manga, polpa de maracujá, polidextrose, água, maltitol, eritritol, umectante glicerol, inulina, cremobene premium (liga neutra), edulcorante glicosídeos de esteviol.</t>
        </is>
      </c>
    </row>
    <row r="41">
      <c r="A41" t="inlineStr">
        <is>
          <t>Selos: ALTO TEOR DE FIBRAS · SEM ADIÇÃO DE AÇÚCARES</t>
        </is>
      </c>
    </row>
    <row r="42">
      <c r="A42" t="inlineStr">
        <is>
          <t>Lupa frontal: nenhuma</t>
        </is>
      </c>
    </row>
  </sheetData>
  <mergeCells count="1">
    <mergeCell ref="A40:H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2"/>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Sorbet Morango</t>
        </is>
      </c>
    </row>
    <row r="2">
      <c r="A2" s="2" t="inlineStr">
        <is>
          <t>linha FRESH · família de formulação: fruta / agua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MORANGO</t>
        </is>
      </c>
      <c r="B5" s="11" t="inlineStr">
        <is>
          <t>polpa de morango</t>
        </is>
      </c>
      <c r="C5" s="19" t="n">
        <v>629</v>
      </c>
      <c r="D5" s="20">
        <f>C5/SUM(C$5:C$11)</f>
        <v/>
      </c>
      <c r="E5" s="12" t="n">
        <v>88.06</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MIX OFICIAL</t>
        </is>
      </c>
      <c r="B6" s="11" t="inlineStr">
        <is>
          <t>mix oficial</t>
        </is>
      </c>
      <c r="C6" s="19" t="n">
        <v>230</v>
      </c>
      <c r="D6" s="20">
        <f>C6/SUM(C$5:C$11)</f>
        <v/>
      </c>
      <c r="E6" s="12" t="n">
        <v>32.2</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AGUA</t>
        </is>
      </c>
      <c r="B7" s="11" t="inlineStr">
        <is>
          <t>água</t>
        </is>
      </c>
      <c r="C7" s="19" t="n">
        <v>98</v>
      </c>
      <c r="D7" s="20">
        <f>C7/SUM(C$5:C$11)</f>
        <v/>
      </c>
      <c r="E7" s="12" t="n">
        <v>13.72</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ERITRITOL</t>
        </is>
      </c>
      <c r="B8" s="11" t="inlineStr">
        <is>
          <t>eritritol</t>
        </is>
      </c>
      <c r="C8" s="19" t="n">
        <v>15</v>
      </c>
      <c r="D8" s="20">
        <f>C8/SUM(C$5:C$11)</f>
        <v/>
      </c>
      <c r="E8" s="12" t="n">
        <v>2.1</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GLICEROL (GLICERINA BIDESTILADA)</t>
        </is>
      </c>
      <c r="B9" s="11" t="inlineStr">
        <is>
          <t>umectante glicerol</t>
        </is>
      </c>
      <c r="C9" s="19" t="n">
        <v>15</v>
      </c>
      <c r="D9" s="20">
        <f>C9/SUM(C$5:C$11)</f>
        <v/>
      </c>
      <c r="E9" s="12" t="n">
        <v>2.1</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PASTA FRAGOLA MEC3 (18047)</t>
        </is>
      </c>
      <c r="B10" s="11" t="inlineStr">
        <is>
          <t>pasta de morango</t>
        </is>
      </c>
      <c r="C10" s="19" t="n">
        <v>10</v>
      </c>
      <c r="D10" s="20">
        <f>C10/SUM(C$5:C$11)</f>
        <v/>
      </c>
      <c r="E10" s="12" t="n">
        <v>1.4</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CREMOBENE PREMIUM (LIGA NEUTRA)</t>
        </is>
      </c>
      <c r="B11" s="11" t="inlineStr">
        <is>
          <t>cremobene premium (liga neutra)</t>
        </is>
      </c>
      <c r="C11" s="19" t="n">
        <v>3</v>
      </c>
      <c r="D11" s="20">
        <f>C11/SUM(C$5:C$11)</f>
        <v/>
      </c>
      <c r="E11" s="12" t="n">
        <v>0.42</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7" t="inlineStr">
        <is>
          <t>TOTAL NO POTE</t>
        </is>
      </c>
      <c r="B12" s="17" t="n"/>
      <c r="C12" s="22">
        <f>SUM(C5:C11)</f>
        <v/>
      </c>
      <c r="D12" s="17" t="n"/>
      <c r="E12" s="23">
        <f>SUM(E5:E11)</f>
        <v/>
      </c>
      <c r="F12" s="23">
        <f>SUM(F5:F11)</f>
        <v/>
      </c>
      <c r="G12" s="23">
        <f>SUM(G5:G11)</f>
        <v/>
      </c>
      <c r="H12" s="23">
        <f>SUM(H5:H11)</f>
        <v/>
      </c>
      <c r="I12" s="23">
        <f>SUM(I5:I11)</f>
        <v/>
      </c>
      <c r="J12" s="23">
        <f>SUM(J5:J11)</f>
        <v/>
      </c>
      <c r="K12" s="23">
        <f>SUM(K5:K11)</f>
        <v/>
      </c>
      <c r="L12" s="23">
        <f>SUM(L5:L11)</f>
        <v/>
      </c>
      <c r="M12" s="23">
        <f>SUM(M5:M11)</f>
        <v/>
      </c>
      <c r="N12" s="23">
        <f>SUM(N5:N11)</f>
        <v/>
      </c>
      <c r="O12" s="23">
        <f>SUM(O5:O11)</f>
        <v/>
      </c>
    </row>
    <row r="14">
      <c r="A14" s="3" t="inlineStr">
        <is>
          <t>POR 100 g DE PRODUTO</t>
        </is>
      </c>
    </row>
    <row r="15" ht="28" customHeight="1">
      <c r="A15" s="7" t="inlineStr">
        <is>
          <t>Componente</t>
        </is>
      </c>
      <c r="B15" s="7" t="inlineStr">
        <is>
          <t>Valor</t>
        </is>
      </c>
      <c r="C15" s="7" t="inlineStr">
        <is>
          <t>Unidade</t>
        </is>
      </c>
    </row>
    <row r="16">
      <c r="A16" t="inlineStr">
        <is>
          <t>Valor energético</t>
        </is>
      </c>
      <c r="B16" s="14">
        <f>F12/140*100</f>
        <v/>
      </c>
      <c r="C16" t="inlineStr">
        <is>
          <t>kcal</t>
        </is>
      </c>
    </row>
    <row r="17">
      <c r="A17" t="inlineStr">
        <is>
          <t>Açúcares totais (rótulo)</t>
        </is>
      </c>
      <c r="B17" s="14" t="n">
        <v>5.931</v>
      </c>
      <c r="C17" t="inlineStr">
        <is>
          <t>g</t>
        </is>
      </c>
    </row>
    <row r="18">
      <c r="A18" t="inlineStr">
        <is>
          <t xml:space="preserve">   dos quais adicionados</t>
        </is>
      </c>
      <c r="B18" s="14">
        <f>H12/140*100</f>
        <v/>
      </c>
      <c r="C18" t="inlineStr">
        <is>
          <t>g</t>
        </is>
      </c>
    </row>
    <row r="19">
      <c r="A19" t="inlineStr">
        <is>
          <t>Polióis</t>
        </is>
      </c>
      <c r="B19" s="14" t="n">
        <v>10.358</v>
      </c>
      <c r="C19" t="inlineStr">
        <is>
          <t>g</t>
        </is>
      </c>
    </row>
    <row r="20">
      <c r="A20" t="inlineStr">
        <is>
          <t>Fibras alimentares</t>
        </is>
      </c>
      <c r="B20" s="14">
        <f>M12/140*100</f>
        <v/>
      </c>
      <c r="C20" t="inlineStr">
        <is>
          <t>g</t>
        </is>
      </c>
    </row>
    <row r="21">
      <c r="A21" t="inlineStr">
        <is>
          <t>Proteínas</t>
        </is>
      </c>
      <c r="B21" s="14">
        <f>L12/140*100</f>
        <v/>
      </c>
      <c r="C21" t="inlineStr">
        <is>
          <t>g</t>
        </is>
      </c>
    </row>
    <row r="22">
      <c r="A22" t="inlineStr">
        <is>
          <t>Gorduras totais</t>
        </is>
      </c>
      <c r="B22" s="14">
        <f>I12/140*100</f>
        <v/>
      </c>
      <c r="C22" t="inlineStr">
        <is>
          <t>g</t>
        </is>
      </c>
    </row>
    <row r="23">
      <c r="A23" t="inlineStr">
        <is>
          <t xml:space="preserve">   das quais saturadas</t>
        </is>
      </c>
      <c r="B23" s="14">
        <f>J12/140*100</f>
        <v/>
      </c>
      <c r="C23" t="inlineStr">
        <is>
          <t>g</t>
        </is>
      </c>
    </row>
    <row r="24">
      <c r="A24" t="inlineStr">
        <is>
          <t xml:space="preserve">   das quais trans</t>
        </is>
      </c>
      <c r="B24" s="14">
        <f>K12/140*100</f>
        <v/>
      </c>
      <c r="C24" t="inlineStr">
        <is>
          <t>g</t>
        </is>
      </c>
    </row>
    <row r="25">
      <c r="A25" t="inlineStr">
        <is>
          <t>Sódio</t>
        </is>
      </c>
      <c r="B25" s="14">
        <f>O12/140*100</f>
        <v/>
      </c>
      <c r="C25" t="inlineStr">
        <is>
          <t>mg</t>
        </is>
      </c>
    </row>
    <row r="26">
      <c r="A26" t="inlineStr">
        <is>
          <t>Sólidos totais</t>
        </is>
      </c>
      <c r="B26" s="14">
        <f>N12/140*100</f>
        <v/>
      </c>
      <c r="C26" t="inlineStr">
        <is>
          <t>g</t>
        </is>
      </c>
    </row>
    <row r="27">
      <c r="A27" s="2" t="inlineStr">
        <is>
          <t>Açúcares técnicos (uso interno)</t>
        </is>
      </c>
      <c r="B27" s="24" t="n">
        <v>16.289</v>
      </c>
      <c r="C27" s="2" t="inlineStr">
        <is>
          <t>g</t>
        </is>
      </c>
    </row>
    <row r="29">
      <c r="A29" s="3" t="inlineStr">
        <is>
          <t>PARÂMETROS DA CALDA</t>
        </is>
      </c>
    </row>
    <row r="30">
      <c r="A30" t="inlineStr">
        <is>
          <t>Sólidos totais</t>
        </is>
      </c>
      <c r="B30" s="14" t="n">
        <v>31.93</v>
      </c>
      <c r="C30" t="inlineStr">
        <is>
          <t>%</t>
        </is>
      </c>
    </row>
    <row r="31">
      <c r="A31" t="inlineStr">
        <is>
          <t>Água</t>
        </is>
      </c>
      <c r="B31" s="14" t="n">
        <v>68.06999999999999</v>
      </c>
      <c r="C31" t="inlineStr">
        <is>
          <t>%</t>
        </is>
      </c>
    </row>
    <row r="32">
      <c r="A32" t="inlineStr">
        <is>
          <t>Gordura</t>
        </is>
      </c>
      <c r="B32" s="14" t="n">
        <v>0.39</v>
      </c>
      <c r="C32" t="inlineStr">
        <is>
          <t>%</t>
        </is>
      </c>
    </row>
    <row r="33">
      <c r="A33" t="inlineStr">
        <is>
          <t>Proteína</t>
        </is>
      </c>
      <c r="B33" s="14" t="n">
        <v>0.71</v>
      </c>
      <c r="C33" t="inlineStr">
        <is>
          <t>%</t>
        </is>
      </c>
    </row>
    <row r="34">
      <c r="A34" t="inlineStr">
        <is>
          <t>POD</t>
        </is>
      </c>
      <c r="B34" s="14" t="n">
        <v>232.32</v>
      </c>
      <c r="C34" t="inlineStr"/>
    </row>
    <row r="35">
      <c r="A35" t="inlineStr">
        <is>
          <t>PAC</t>
        </is>
      </c>
      <c r="B35" s="14" t="n">
        <v>388.14</v>
      </c>
      <c r="C35" t="inlineStr"/>
    </row>
    <row r="36">
      <c r="A36" t="inlineStr">
        <is>
          <t>Janela de consumo</t>
        </is>
      </c>
      <c r="B36" s="14" t="inlineStr">
        <is>
          <t>-14.8 a -19.4</t>
        </is>
      </c>
      <c r="C36" t="inlineStr">
        <is>
          <t>°C</t>
        </is>
      </c>
    </row>
    <row r="37">
      <c r="A37" t="inlineStr">
        <is>
          <t>Água congelada a −8 °C</t>
        </is>
      </c>
      <c r="B37" s="14" t="n">
        <v>61.24</v>
      </c>
      <c r="C37" t="inlineStr">
        <is>
          <t>%</t>
        </is>
      </c>
    </row>
    <row r="39">
      <c r="A39" s="3" t="inlineStr">
        <is>
          <t>LISTA DE INGREDIENTES — RDC 727/2022</t>
        </is>
      </c>
    </row>
    <row r="40" ht="46" customHeight="1">
      <c r="A40" s="4" t="inlineStr">
        <is>
          <t>Ingredientes: polpa de morango, polidextrose, água, eritritol, maltitol, inulina, umectante glicerol, pasta de morango, cremobene premium (liga neutra), edulcorante glicosídeos de esteviol.</t>
        </is>
      </c>
    </row>
    <row r="41">
      <c r="A41" t="inlineStr">
        <is>
          <t>Selos: ALTO TEOR DE FIBRAS</t>
        </is>
      </c>
    </row>
    <row r="42">
      <c r="A42" t="inlineStr">
        <is>
          <t>Lupa frontal: nenhuma</t>
        </is>
      </c>
    </row>
  </sheetData>
  <mergeCells count="1">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4"/>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Torta de Limão</t>
        </is>
      </c>
    </row>
    <row r="2">
      <c r="A2" s="2" t="inlineStr">
        <is>
          <t>linha SPECIAL · família de formulação: creme / leite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LEITE ZERO LACTOSE (INTEGRAL)</t>
        </is>
      </c>
      <c r="B5" s="11" t="inlineStr">
        <is>
          <t>leite integral zero lactose</t>
        </is>
      </c>
      <c r="C5" s="19" t="n">
        <v>614</v>
      </c>
      <c r="D5" s="20">
        <f>C5/SUM(C$5:C$12)</f>
        <v/>
      </c>
      <c r="E5" s="12" t="n">
        <v>85.95999999999999</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MIX OFICIAL</t>
        </is>
      </c>
      <c r="B6" s="11" t="inlineStr">
        <is>
          <t>mix oficial</t>
        </is>
      </c>
      <c r="C6" s="19" t="n">
        <v>150</v>
      </c>
      <c r="D6" s="20">
        <f>C6/SUM(C$5:C$12)</f>
        <v/>
      </c>
      <c r="E6" s="12" t="n">
        <v>21</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CREME DE LEITE FRESCO 35% ZL (VERDE CAMPO LACFREE)</t>
        </is>
      </c>
      <c r="B7" s="11" t="inlineStr">
        <is>
          <t>creme de leite zero lactose</t>
        </is>
      </c>
      <c r="C7" s="19" t="n">
        <v>102</v>
      </c>
      <c r="D7" s="20">
        <f>C7/SUM(C$5:C$12)</f>
        <v/>
      </c>
      <c r="E7" s="12" t="n">
        <v>14.28</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GUSTO LIMONE SICILIA (PÓ)</t>
        </is>
      </c>
      <c r="B8" s="11" t="inlineStr">
        <is>
          <t>preparado de limão siciliano</t>
        </is>
      </c>
      <c r="C8" s="19" t="n">
        <v>60</v>
      </c>
      <c r="D8" s="20">
        <f>C8/SUM(C$5:C$12)</f>
        <v/>
      </c>
      <c r="E8" s="12" t="n">
        <v>8.4</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LEITE EM PO DESNATADO ZL (BATAVO PENSE ZERO)</t>
        </is>
      </c>
      <c r="B9" s="11" t="inlineStr">
        <is>
          <t>leite em po desnatado zl (batavo pense zero)</t>
        </is>
      </c>
      <c r="C9" s="19" t="n">
        <v>33</v>
      </c>
      <c r="D9" s="20">
        <f>C9/SUM(C$5:C$12)</f>
        <v/>
      </c>
      <c r="E9" s="12" t="n">
        <v>4.62</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POLIDEXTROSE</t>
        </is>
      </c>
      <c r="B10" s="11" t="inlineStr">
        <is>
          <t>polidextrose</t>
        </is>
      </c>
      <c r="C10" s="19" t="n">
        <v>20</v>
      </c>
      <c r="D10" s="20">
        <f>C10/SUM(C$5:C$12)</f>
        <v/>
      </c>
      <c r="E10" s="12" t="n">
        <v>2.8</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GLICEROL (GLICERINA BIDESTILADA)</t>
        </is>
      </c>
      <c r="B11" s="11" t="inlineStr">
        <is>
          <t>umectante glicerol</t>
        </is>
      </c>
      <c r="C11" s="19" t="n">
        <v>15</v>
      </c>
      <c r="D11" s="20">
        <f>C11/SUM(C$5:C$12)</f>
        <v/>
      </c>
      <c r="E11" s="12" t="n">
        <v>2.1</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1" t="inlineStr">
        <is>
          <t>CREMOBENE PREMIUM (LIGA NEUTRA)</t>
        </is>
      </c>
      <c r="B12" s="11" t="inlineStr">
        <is>
          <t>cremobene premium (liga neutra)</t>
        </is>
      </c>
      <c r="C12" s="19" t="n">
        <v>6</v>
      </c>
      <c r="D12" s="20">
        <f>C12/SUM(C$5:C$12)</f>
        <v/>
      </c>
      <c r="E12" s="12" t="n">
        <v>0.84</v>
      </c>
      <c r="F12" s="21">
        <f>IFERROR(VLOOKUP($A12,INSUMOS!$A$5:$N$28,4,FALSE),0)*$E12/100</f>
        <v/>
      </c>
      <c r="G12" s="21">
        <f>IFERROR(VLOOKUP($A12,INSUMOS!$A$5:$N$28,5,FALSE),0)*$E12/100</f>
        <v/>
      </c>
      <c r="H12" s="21">
        <f>IFERROR(VLOOKUP($A12,INSUMOS!$A$5:$N$28,6,FALSE),0)*$E12/100/100</f>
        <v/>
      </c>
      <c r="I12" s="21">
        <f>IFERROR(VLOOKUP($A12,INSUMOS!$A$5:$N$28,7,FALSE),0)*$E12/100</f>
        <v/>
      </c>
      <c r="J12" s="21">
        <f>IFERROR(VLOOKUP($A12,INSUMOS!$A$5:$N$28,8,FALSE),0)*$E12/100</f>
        <v/>
      </c>
      <c r="K12" s="21">
        <f>IFERROR(VLOOKUP($A12,INSUMOS!$A$5:$N$28,9,FALSE),0)*$E12/100</f>
        <v/>
      </c>
      <c r="L12" s="21">
        <f>IFERROR(VLOOKUP($A12,INSUMOS!$A$5:$N$28,10,FALSE),0)*$E12/100</f>
        <v/>
      </c>
      <c r="M12" s="21">
        <f>IFERROR(VLOOKUP($A12,INSUMOS!$A$5:$N$28,11,FALSE),0)*$E12/100</f>
        <v/>
      </c>
      <c r="N12" s="21">
        <f>IFERROR(VLOOKUP($A12,INSUMOS!$A$5:$N$28,12,FALSE),0)*$E12/100</f>
        <v/>
      </c>
      <c r="O12" s="21">
        <f>IFERROR(VLOOKUP($A12,INSUMOS!$A$5:$N$28,13,FALSE),0)*$E12/100</f>
        <v/>
      </c>
    </row>
    <row r="13">
      <c r="A13" s="17" t="inlineStr">
        <is>
          <t>TOTAL NO POTE</t>
        </is>
      </c>
      <c r="B13" s="17" t="n"/>
      <c r="C13" s="22">
        <f>SUM(C5:C12)</f>
        <v/>
      </c>
      <c r="D13" s="17" t="n"/>
      <c r="E13" s="23">
        <f>SUM(E5:E12)</f>
        <v/>
      </c>
      <c r="F13" s="23">
        <f>SUM(F5:F12)</f>
        <v/>
      </c>
      <c r="G13" s="23">
        <f>SUM(G5:G12)</f>
        <v/>
      </c>
      <c r="H13" s="23">
        <f>SUM(H5:H12)</f>
        <v/>
      </c>
      <c r="I13" s="23">
        <f>SUM(I5:I12)</f>
        <v/>
      </c>
      <c r="J13" s="23">
        <f>SUM(J5:J12)</f>
        <v/>
      </c>
      <c r="K13" s="23">
        <f>SUM(K5:K12)</f>
        <v/>
      </c>
      <c r="L13" s="23">
        <f>SUM(L5:L12)</f>
        <v/>
      </c>
      <c r="M13" s="23">
        <f>SUM(M5:M12)</f>
        <v/>
      </c>
      <c r="N13" s="23">
        <f>SUM(N5:N12)</f>
        <v/>
      </c>
      <c r="O13" s="23">
        <f>SUM(O5:O12)</f>
        <v/>
      </c>
    </row>
    <row r="15">
      <c r="A15" s="3" t="inlineStr">
        <is>
          <t>POR 100 g DE PRODUTO</t>
        </is>
      </c>
    </row>
    <row r="16" ht="28" customHeight="1">
      <c r="A16" s="7" t="inlineStr">
        <is>
          <t>Componente</t>
        </is>
      </c>
      <c r="B16" s="7" t="inlineStr">
        <is>
          <t>Valor</t>
        </is>
      </c>
      <c r="C16" s="7" t="inlineStr">
        <is>
          <t>Unidade</t>
        </is>
      </c>
    </row>
    <row r="17">
      <c r="A17" t="inlineStr">
        <is>
          <t>Valor energético</t>
        </is>
      </c>
      <c r="B17" s="14">
        <f>F13/140*100</f>
        <v/>
      </c>
      <c r="C17" t="inlineStr">
        <is>
          <t>kcal</t>
        </is>
      </c>
    </row>
    <row r="18">
      <c r="A18" t="inlineStr">
        <is>
          <t>Açúcares totais (rótulo)</t>
        </is>
      </c>
      <c r="B18" s="14" t="n">
        <v>8.843999999999999</v>
      </c>
      <c r="C18" t="inlineStr">
        <is>
          <t>g</t>
        </is>
      </c>
    </row>
    <row r="19">
      <c r="A19" t="inlineStr">
        <is>
          <t xml:space="preserve">   dos quais adicionados</t>
        </is>
      </c>
      <c r="B19" s="14">
        <f>H13/140*100</f>
        <v/>
      </c>
      <c r="C19" t="inlineStr">
        <is>
          <t>g</t>
        </is>
      </c>
    </row>
    <row r="20">
      <c r="A20" t="inlineStr">
        <is>
          <t>Polióis</t>
        </is>
      </c>
      <c r="B20" s="14" t="n">
        <v>5.777</v>
      </c>
      <c r="C20" t="inlineStr">
        <is>
          <t>g</t>
        </is>
      </c>
    </row>
    <row r="21">
      <c r="A21" t="inlineStr">
        <is>
          <t>Fibras alimentares</t>
        </is>
      </c>
      <c r="B21" s="14">
        <f>M13/140*100</f>
        <v/>
      </c>
      <c r="C21" t="inlineStr">
        <is>
          <t>g</t>
        </is>
      </c>
    </row>
    <row r="22">
      <c r="A22" t="inlineStr">
        <is>
          <t>Proteínas</t>
        </is>
      </c>
      <c r="B22" s="14">
        <f>L13/140*100</f>
        <v/>
      </c>
      <c r="C22" t="inlineStr">
        <is>
          <t>g</t>
        </is>
      </c>
    </row>
    <row r="23">
      <c r="A23" t="inlineStr">
        <is>
          <t>Gorduras totais</t>
        </is>
      </c>
      <c r="B23" s="14">
        <f>I13/140*100</f>
        <v/>
      </c>
      <c r="C23" t="inlineStr">
        <is>
          <t>g</t>
        </is>
      </c>
    </row>
    <row r="24">
      <c r="A24" t="inlineStr">
        <is>
          <t xml:space="preserve">   das quais saturadas</t>
        </is>
      </c>
      <c r="B24" s="14">
        <f>J13/140*100</f>
        <v/>
      </c>
      <c r="C24" t="inlineStr">
        <is>
          <t>g</t>
        </is>
      </c>
    </row>
    <row r="25">
      <c r="A25" t="inlineStr">
        <is>
          <t xml:space="preserve">   das quais trans</t>
        </is>
      </c>
      <c r="B25" s="14">
        <f>K13/140*100</f>
        <v/>
      </c>
      <c r="C25" t="inlineStr">
        <is>
          <t>g</t>
        </is>
      </c>
    </row>
    <row r="26">
      <c r="A26" t="inlineStr">
        <is>
          <t>Sódio</t>
        </is>
      </c>
      <c r="B26" s="14">
        <f>O13/140*100</f>
        <v/>
      </c>
      <c r="C26" t="inlineStr">
        <is>
          <t>mg</t>
        </is>
      </c>
    </row>
    <row r="27">
      <c r="A27" t="inlineStr">
        <is>
          <t>Sólidos totais</t>
        </is>
      </c>
      <c r="B27" s="14">
        <f>N13/140*100</f>
        <v/>
      </c>
      <c r="C27" t="inlineStr">
        <is>
          <t>g</t>
        </is>
      </c>
    </row>
    <row r="28">
      <c r="A28" s="2" t="inlineStr">
        <is>
          <t>Açúcares técnicos (uso interno)</t>
        </is>
      </c>
      <c r="B28" s="24" t="n">
        <v>14.621</v>
      </c>
      <c r="C28" s="2" t="inlineStr">
        <is>
          <t>g</t>
        </is>
      </c>
    </row>
    <row r="30">
      <c r="A30" s="3" t="inlineStr">
        <is>
          <t>PARÂMETROS DA CALDA</t>
        </is>
      </c>
    </row>
    <row r="31">
      <c r="A31" t="inlineStr">
        <is>
          <t>Sólidos totais</t>
        </is>
      </c>
      <c r="B31" s="14" t="n">
        <v>39.4</v>
      </c>
      <c r="C31" t="inlineStr">
        <is>
          <t>%</t>
        </is>
      </c>
    </row>
    <row r="32">
      <c r="A32" t="inlineStr">
        <is>
          <t>Água</t>
        </is>
      </c>
      <c r="B32" s="14" t="n">
        <v>60.6</v>
      </c>
      <c r="C32" t="inlineStr">
        <is>
          <t>%</t>
        </is>
      </c>
    </row>
    <row r="33">
      <c r="A33" t="inlineStr">
        <is>
          <t>Gordura</t>
        </is>
      </c>
      <c r="B33" s="14" t="n">
        <v>6.53</v>
      </c>
      <c r="C33" t="inlineStr">
        <is>
          <t>%</t>
        </is>
      </c>
    </row>
    <row r="34">
      <c r="A34" t="inlineStr">
        <is>
          <t>Proteína</t>
        </is>
      </c>
      <c r="B34" s="14" t="n">
        <v>3.63</v>
      </c>
      <c r="C34" t="inlineStr">
        <is>
          <t>%</t>
        </is>
      </c>
    </row>
    <row r="35">
      <c r="A35" t="inlineStr">
        <is>
          <t>POD</t>
        </is>
      </c>
      <c r="B35" s="14" t="n">
        <v>170</v>
      </c>
      <c r="C35" t="inlineStr"/>
    </row>
    <row r="36">
      <c r="A36" t="inlineStr">
        <is>
          <t>PAC</t>
        </is>
      </c>
      <c r="B36" s="14" t="n">
        <v>351.85</v>
      </c>
      <c r="C36" t="inlineStr"/>
    </row>
    <row r="37">
      <c r="A37" t="inlineStr">
        <is>
          <t>Janela de consumo</t>
        </is>
      </c>
      <c r="B37" s="14" t="inlineStr">
        <is>
          <t>-15.0 a -19.7</t>
        </is>
      </c>
      <c r="C37" t="inlineStr">
        <is>
          <t>°C</t>
        </is>
      </c>
    </row>
    <row r="38">
      <c r="A38" t="inlineStr">
        <is>
          <t>Água congelada a −8 °C</t>
        </is>
      </c>
      <c r="B38" s="14" t="n">
        <v>60.53</v>
      </c>
      <c r="C38" t="inlineStr">
        <is>
          <t>%</t>
        </is>
      </c>
    </row>
    <row r="40">
      <c r="A40" s="3" t="inlineStr">
        <is>
          <t>LISTA DE INGREDIENTES — RDC 727/2022</t>
        </is>
      </c>
    </row>
    <row r="41" ht="46" customHeight="1">
      <c r="A41" s="4" t="inlineStr">
        <is>
          <t>Ingredientes: leite integral zero lactose, creme de leite zero lactose, polidextrose, preparado de limão siciliano, maltitol, leite em po desnatado zl (batavo pense zero), eritritol, umectante glicerol, inulina, cremobene premium (liga neutra), edulcorante glicosídeos de esteviol.</t>
        </is>
      </c>
    </row>
    <row r="42">
      <c r="A42" s="3" t="inlineStr">
        <is>
          <t>ALÉRGICOS: CONTÉM LEITE.</t>
        </is>
      </c>
    </row>
    <row r="43">
      <c r="A43" t="inlineStr">
        <is>
          <t>Selos: ALTO TEOR DE FIBRAS · SEM ADIÇÃO DE AÇÚCARES</t>
        </is>
      </c>
    </row>
    <row r="44">
      <c r="A44" t="inlineStr">
        <is>
          <t>Lupa frontal: nenhuma</t>
        </is>
      </c>
    </row>
  </sheetData>
  <mergeCells count="1">
    <mergeCell ref="A41:H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7"/>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Alfajor</t>
        </is>
      </c>
    </row>
    <row r="2">
      <c r="A2" s="2" t="inlineStr">
        <is>
          <t>linha SPECIAL · família de formulação: creme / leite · pote de 150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LEITE ZERO LACTOSE (INTEGRAL)</t>
        </is>
      </c>
      <c r="B5" s="11" t="inlineStr">
        <is>
          <t>leite integral zero lactose</t>
        </is>
      </c>
      <c r="C5" s="19" t="n">
        <v>607.7</v>
      </c>
      <c r="D5" s="20">
        <f>C5/SUM(C$5:C$14)</f>
        <v/>
      </c>
      <c r="E5" s="12" t="n">
        <v>82.04000000000001</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DOCE DE LEITE VIÇOSA ZERO</t>
        </is>
      </c>
      <c r="B6" s="11" t="inlineStr">
        <is>
          <t>doce de leite viçosa zero</t>
        </is>
      </c>
      <c r="C6" s="19" t="n">
        <v>160</v>
      </c>
      <c r="D6" s="20">
        <f>C6/SUM(C$5:C$14)</f>
        <v/>
      </c>
      <c r="E6" s="12" t="n">
        <v>21.6</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POLIDEXTROSE</t>
        </is>
      </c>
      <c r="B7" s="11" t="inlineStr">
        <is>
          <t>polidextrose</t>
        </is>
      </c>
      <c r="C7" s="19" t="n">
        <v>70</v>
      </c>
      <c r="D7" s="20">
        <f>C7/SUM(C$5:C$14)</f>
        <v/>
      </c>
      <c r="E7" s="12" t="n">
        <v>9.449999999999999</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CREME DE LEITE FRESCO 35% ZL (VERDE CAMPO LACFREE)</t>
        </is>
      </c>
      <c r="B8" s="11" t="inlineStr">
        <is>
          <t>creme de leite zero lactose</t>
        </is>
      </c>
      <c r="C8" s="19" t="n">
        <v>60</v>
      </c>
      <c r="D8" s="20">
        <f>C8/SUM(C$5:C$14)</f>
        <v/>
      </c>
      <c r="E8" s="12" t="n">
        <v>8.1</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LEITE EM PO DESNATADO ZL (BATAVO PENSE ZERO)</t>
        </is>
      </c>
      <c r="B9" s="11" t="inlineStr">
        <is>
          <t>leite em po desnatado zl (batavo pense zero)</t>
        </is>
      </c>
      <c r="C9" s="19" t="n">
        <v>50</v>
      </c>
      <c r="D9" s="20">
        <f>C9/SUM(C$5:C$14)</f>
        <v/>
      </c>
      <c r="E9" s="12" t="n">
        <v>6.75</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MALTITOL</t>
        </is>
      </c>
      <c r="B10" s="11" t="inlineStr">
        <is>
          <t>maltitol</t>
        </is>
      </c>
      <c r="C10" s="19" t="n">
        <v>30</v>
      </c>
      <c r="D10" s="20">
        <f>C10/SUM(C$5:C$14)</f>
        <v/>
      </c>
      <c r="E10" s="12" t="n">
        <v>4.05</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GLICEROL (GLICERINA BIDESTILADA)</t>
        </is>
      </c>
      <c r="B11" s="11" t="inlineStr">
        <is>
          <t>umectante glicerol</t>
        </is>
      </c>
      <c r="C11" s="19" t="n">
        <v>15</v>
      </c>
      <c r="D11" s="20">
        <f>C11/SUM(C$5:C$14)</f>
        <v/>
      </c>
      <c r="E11" s="12" t="n">
        <v>2.025</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1" t="inlineStr">
        <is>
          <t>CREMOBENE PREMIUM (LIGA NEUTRA)</t>
        </is>
      </c>
      <c r="B12" s="11" t="inlineStr">
        <is>
          <t>cremobene premium (liga neutra)</t>
        </is>
      </c>
      <c r="C12" s="19" t="n">
        <v>6</v>
      </c>
      <c r="D12" s="20">
        <f>C12/SUM(C$5:C$14)</f>
        <v/>
      </c>
      <c r="E12" s="12" t="n">
        <v>0.8100000000000001</v>
      </c>
      <c r="F12" s="21">
        <f>IFERROR(VLOOKUP($A12,INSUMOS!$A$5:$N$28,4,FALSE),0)*$E12/100</f>
        <v/>
      </c>
      <c r="G12" s="21">
        <f>IFERROR(VLOOKUP($A12,INSUMOS!$A$5:$N$28,5,FALSE),0)*$E12/100</f>
        <v/>
      </c>
      <c r="H12" s="21">
        <f>IFERROR(VLOOKUP($A12,INSUMOS!$A$5:$N$28,6,FALSE),0)*$E12/100/100</f>
        <v/>
      </c>
      <c r="I12" s="21">
        <f>IFERROR(VLOOKUP($A12,INSUMOS!$A$5:$N$28,7,FALSE),0)*$E12/100</f>
        <v/>
      </c>
      <c r="J12" s="21">
        <f>IFERROR(VLOOKUP($A12,INSUMOS!$A$5:$N$28,8,FALSE),0)*$E12/100</f>
        <v/>
      </c>
      <c r="K12" s="21">
        <f>IFERROR(VLOOKUP($A12,INSUMOS!$A$5:$N$28,9,FALSE),0)*$E12/100</f>
        <v/>
      </c>
      <c r="L12" s="21">
        <f>IFERROR(VLOOKUP($A12,INSUMOS!$A$5:$N$28,10,FALSE),0)*$E12/100</f>
        <v/>
      </c>
      <c r="M12" s="21">
        <f>IFERROR(VLOOKUP($A12,INSUMOS!$A$5:$N$28,11,FALSE),0)*$E12/100</f>
        <v/>
      </c>
      <c r="N12" s="21">
        <f>IFERROR(VLOOKUP($A12,INSUMOS!$A$5:$N$28,12,FALSE),0)*$E12/100</f>
        <v/>
      </c>
      <c r="O12" s="21">
        <f>IFERROR(VLOOKUP($A12,INSUMOS!$A$5:$N$28,13,FALSE),0)*$E12/100</f>
        <v/>
      </c>
    </row>
    <row r="13">
      <c r="A13" s="11" t="inlineStr">
        <is>
          <t>SAL</t>
        </is>
      </c>
      <c r="B13" s="11" t="inlineStr">
        <is>
          <t>sal</t>
        </is>
      </c>
      <c r="C13" s="19" t="n">
        <v>1</v>
      </c>
      <c r="D13" s="20">
        <f>C13/SUM(C$5:C$14)</f>
        <v/>
      </c>
      <c r="E13" s="12" t="n">
        <v>0.135</v>
      </c>
      <c r="F13" s="21">
        <f>IFERROR(VLOOKUP($A13,INSUMOS!$A$5:$N$28,4,FALSE),0)*$E13/100</f>
        <v/>
      </c>
      <c r="G13" s="21">
        <f>IFERROR(VLOOKUP($A13,INSUMOS!$A$5:$N$28,5,FALSE),0)*$E13/100</f>
        <v/>
      </c>
      <c r="H13" s="21">
        <f>IFERROR(VLOOKUP($A13,INSUMOS!$A$5:$N$28,6,FALSE),0)*$E13/100/100</f>
        <v/>
      </c>
      <c r="I13" s="21">
        <f>IFERROR(VLOOKUP($A13,INSUMOS!$A$5:$N$28,7,FALSE),0)*$E13/100</f>
        <v/>
      </c>
      <c r="J13" s="21">
        <f>IFERROR(VLOOKUP($A13,INSUMOS!$A$5:$N$28,8,FALSE),0)*$E13/100</f>
        <v/>
      </c>
      <c r="K13" s="21">
        <f>IFERROR(VLOOKUP($A13,INSUMOS!$A$5:$N$28,9,FALSE),0)*$E13/100</f>
        <v/>
      </c>
      <c r="L13" s="21">
        <f>IFERROR(VLOOKUP($A13,INSUMOS!$A$5:$N$28,10,FALSE),0)*$E13/100</f>
        <v/>
      </c>
      <c r="M13" s="21">
        <f>IFERROR(VLOOKUP($A13,INSUMOS!$A$5:$N$28,11,FALSE),0)*$E13/100</f>
        <v/>
      </c>
      <c r="N13" s="21">
        <f>IFERROR(VLOOKUP($A13,INSUMOS!$A$5:$N$28,12,FALSE),0)*$E13/100</f>
        <v/>
      </c>
      <c r="O13" s="21">
        <f>IFERROR(VLOOKUP($A13,INSUMOS!$A$5:$N$28,13,FALSE),0)*$E13/100</f>
        <v/>
      </c>
    </row>
    <row r="14">
      <c r="A14" s="11" t="inlineStr">
        <is>
          <t>STEVIA</t>
        </is>
      </c>
      <c r="B14" s="11" t="inlineStr">
        <is>
          <t>edulcorante glicosídeos de esteviol</t>
        </is>
      </c>
      <c r="C14" s="19" t="n">
        <v>0.3</v>
      </c>
      <c r="D14" s="20">
        <f>C14/SUM(C$5:C$14)</f>
        <v/>
      </c>
      <c r="E14" s="12" t="n">
        <v>0.04</v>
      </c>
      <c r="F14" s="21">
        <f>IFERROR(VLOOKUP($A14,INSUMOS!$A$5:$N$28,4,FALSE),0)*$E14/100</f>
        <v/>
      </c>
      <c r="G14" s="21">
        <f>IFERROR(VLOOKUP($A14,INSUMOS!$A$5:$N$28,5,FALSE),0)*$E14/100</f>
        <v/>
      </c>
      <c r="H14" s="21">
        <f>IFERROR(VLOOKUP($A14,INSUMOS!$A$5:$N$28,6,FALSE),0)*$E14/100/100</f>
        <v/>
      </c>
      <c r="I14" s="21">
        <f>IFERROR(VLOOKUP($A14,INSUMOS!$A$5:$N$28,7,FALSE),0)*$E14/100</f>
        <v/>
      </c>
      <c r="J14" s="21">
        <f>IFERROR(VLOOKUP($A14,INSUMOS!$A$5:$N$28,8,FALSE),0)*$E14/100</f>
        <v/>
      </c>
      <c r="K14" s="21">
        <f>IFERROR(VLOOKUP($A14,INSUMOS!$A$5:$N$28,9,FALSE),0)*$E14/100</f>
        <v/>
      </c>
      <c r="L14" s="21">
        <f>IFERROR(VLOOKUP($A14,INSUMOS!$A$5:$N$28,10,FALSE),0)*$E14/100</f>
        <v/>
      </c>
      <c r="M14" s="21">
        <f>IFERROR(VLOOKUP($A14,INSUMOS!$A$5:$N$28,11,FALSE),0)*$E14/100</f>
        <v/>
      </c>
      <c r="N14" s="21">
        <f>IFERROR(VLOOKUP($A14,INSUMOS!$A$5:$N$28,12,FALSE),0)*$E14/100</f>
        <v/>
      </c>
      <c r="O14" s="21">
        <f>IFERROR(VLOOKUP($A14,INSUMOS!$A$5:$N$28,13,FALSE),0)*$E14/100</f>
        <v/>
      </c>
    </row>
    <row r="15">
      <c r="A15" s="11" t="inlineStr">
        <is>
          <t>BISCOITO ALFAJOR DE CHOCOLATE (ZERO LACTOSE)</t>
        </is>
      </c>
      <c r="B15" s="11" t="inlineStr">
        <is>
          <t>biscoito de alfajor de chocolate</t>
        </is>
      </c>
      <c r="C15" s="19" t="n">
        <v>111</v>
      </c>
      <c r="D15" s="20">
        <f>C15/SUM(C$5:C$14)</f>
        <v/>
      </c>
      <c r="E15" s="12" t="n">
        <v>14.985</v>
      </c>
      <c r="F15" s="21">
        <f>IFERROR(VLOOKUP($A15,INSUMOS!$A$5:$N$28,4,FALSE),0)*$E15/100</f>
        <v/>
      </c>
      <c r="G15" s="21">
        <f>IFERROR(VLOOKUP($A15,INSUMOS!$A$5:$N$28,5,FALSE),0)*$E15/100</f>
        <v/>
      </c>
      <c r="H15" s="21">
        <f>IFERROR(VLOOKUP($A15,INSUMOS!$A$5:$N$28,6,FALSE),0)*$E15/100/100</f>
        <v/>
      </c>
      <c r="I15" s="21">
        <f>IFERROR(VLOOKUP($A15,INSUMOS!$A$5:$N$28,7,FALSE),0)*$E15/100</f>
        <v/>
      </c>
      <c r="J15" s="21">
        <f>IFERROR(VLOOKUP($A15,INSUMOS!$A$5:$N$28,8,FALSE),0)*$E15/100</f>
        <v/>
      </c>
      <c r="K15" s="21">
        <f>IFERROR(VLOOKUP($A15,INSUMOS!$A$5:$N$28,9,FALSE),0)*$E15/100</f>
        <v/>
      </c>
      <c r="L15" s="21">
        <f>IFERROR(VLOOKUP($A15,INSUMOS!$A$5:$N$28,10,FALSE),0)*$E15/100</f>
        <v/>
      </c>
      <c r="M15" s="21">
        <f>IFERROR(VLOOKUP($A15,INSUMOS!$A$5:$N$28,11,FALSE),0)*$E15/100</f>
        <v/>
      </c>
      <c r="N15" s="21">
        <f>IFERROR(VLOOKUP($A15,INSUMOS!$A$5:$N$28,12,FALSE),0)*$E15/100</f>
        <v/>
      </c>
      <c r="O15" s="21">
        <f>IFERROR(VLOOKUP($A15,INSUMOS!$A$5:$N$28,13,FALSE),0)*$E15/100</f>
        <v/>
      </c>
    </row>
    <row r="16">
      <c r="A16" s="17" t="inlineStr">
        <is>
          <t>TOTAL NO POTE</t>
        </is>
      </c>
      <c r="B16" s="17" t="n"/>
      <c r="C16" s="22">
        <f>SUM(C5:C14)</f>
        <v/>
      </c>
      <c r="D16" s="17" t="n"/>
      <c r="E16" s="23">
        <f>SUM(E5:E15)</f>
        <v/>
      </c>
      <c r="F16" s="23">
        <f>SUM(F5:F15)</f>
        <v/>
      </c>
      <c r="G16" s="23">
        <f>SUM(G5:G15)</f>
        <v/>
      </c>
      <c r="H16" s="23">
        <f>SUM(H5:H15)</f>
        <v/>
      </c>
      <c r="I16" s="23">
        <f>SUM(I5:I15)</f>
        <v/>
      </c>
      <c r="J16" s="23">
        <f>SUM(J5:J15)</f>
        <v/>
      </c>
      <c r="K16" s="23">
        <f>SUM(K5:K15)</f>
        <v/>
      </c>
      <c r="L16" s="23">
        <f>SUM(L5:L15)</f>
        <v/>
      </c>
      <c r="M16" s="23">
        <f>SUM(M5:M15)</f>
        <v/>
      </c>
      <c r="N16" s="23">
        <f>SUM(N5:N15)</f>
        <v/>
      </c>
      <c r="O16" s="23">
        <f>SUM(O5:O15)</f>
        <v/>
      </c>
    </row>
    <row r="18">
      <c r="A18" s="3" t="inlineStr">
        <is>
          <t>POR 100 g DE PRODUTO</t>
        </is>
      </c>
    </row>
    <row r="19" ht="28" customHeight="1">
      <c r="A19" s="7" t="inlineStr">
        <is>
          <t>Componente</t>
        </is>
      </c>
      <c r="B19" s="7" t="inlineStr">
        <is>
          <t>Valor</t>
        </is>
      </c>
      <c r="C19" s="7" t="inlineStr">
        <is>
          <t>Unidade</t>
        </is>
      </c>
    </row>
    <row r="20">
      <c r="A20" t="inlineStr">
        <is>
          <t>Valor energético</t>
        </is>
      </c>
      <c r="B20" s="14">
        <f>F16/149.98499999999999*100</f>
        <v/>
      </c>
      <c r="C20" t="inlineStr">
        <is>
          <t>kcal</t>
        </is>
      </c>
    </row>
    <row r="21">
      <c r="A21" t="inlineStr">
        <is>
          <t>Açúcares totais (rótulo)</t>
        </is>
      </c>
      <c r="B21" s="14" t="n">
        <v>7.777</v>
      </c>
      <c r="C21" t="inlineStr">
        <is>
          <t>g</t>
        </is>
      </c>
    </row>
    <row r="22">
      <c r="A22" t="inlineStr">
        <is>
          <t xml:space="preserve">   dos quais adicionados</t>
        </is>
      </c>
      <c r="B22" s="14">
        <f>H16/149.98499999999999*100</f>
        <v/>
      </c>
      <c r="C22" t="inlineStr">
        <is>
          <t>g</t>
        </is>
      </c>
    </row>
    <row r="23">
      <c r="A23" t="inlineStr">
        <is>
          <t>Polióis</t>
        </is>
      </c>
      <c r="B23" s="14" t="n">
        <v>6.403</v>
      </c>
      <c r="C23" t="inlineStr">
        <is>
          <t>g</t>
        </is>
      </c>
    </row>
    <row r="24">
      <c r="A24" t="inlineStr">
        <is>
          <t>Fibras alimentares</t>
        </is>
      </c>
      <c r="B24" s="14">
        <f>M16/149.98499999999999*100</f>
        <v/>
      </c>
      <c r="C24" t="inlineStr">
        <is>
          <t>g</t>
        </is>
      </c>
    </row>
    <row r="25">
      <c r="A25" t="inlineStr">
        <is>
          <t>Proteínas</t>
        </is>
      </c>
      <c r="B25" s="14">
        <f>L16/149.98499999999999*100</f>
        <v/>
      </c>
      <c r="C25" t="inlineStr">
        <is>
          <t>g</t>
        </is>
      </c>
    </row>
    <row r="26">
      <c r="A26" t="inlineStr">
        <is>
          <t>Gorduras totais</t>
        </is>
      </c>
      <c r="B26" s="14">
        <f>I16/149.98499999999999*100</f>
        <v/>
      </c>
      <c r="C26" t="inlineStr">
        <is>
          <t>g</t>
        </is>
      </c>
    </row>
    <row r="27">
      <c r="A27" t="inlineStr">
        <is>
          <t xml:space="preserve">   das quais saturadas</t>
        </is>
      </c>
      <c r="B27" s="14">
        <f>J16/149.98499999999999*100</f>
        <v/>
      </c>
      <c r="C27" t="inlineStr">
        <is>
          <t>g</t>
        </is>
      </c>
    </row>
    <row r="28">
      <c r="A28" t="inlineStr">
        <is>
          <t xml:space="preserve">   das quais trans</t>
        </is>
      </c>
      <c r="B28" s="14">
        <f>K16/149.98499999999999*100</f>
        <v/>
      </c>
      <c r="C28" t="inlineStr">
        <is>
          <t>g</t>
        </is>
      </c>
    </row>
    <row r="29">
      <c r="A29" t="inlineStr">
        <is>
          <t>Sódio</t>
        </is>
      </c>
      <c r="B29" s="14">
        <f>O16/149.98499999999999*100</f>
        <v/>
      </c>
      <c r="C29" t="inlineStr">
        <is>
          <t>mg</t>
        </is>
      </c>
    </row>
    <row r="30">
      <c r="A30" t="inlineStr">
        <is>
          <t>Sólidos totais</t>
        </is>
      </c>
      <c r="B30" s="14">
        <f>N16/149.98499999999999*100</f>
        <v/>
      </c>
      <c r="C30" t="inlineStr">
        <is>
          <t>g</t>
        </is>
      </c>
    </row>
    <row r="31">
      <c r="A31" s="2" t="inlineStr">
        <is>
          <t>Açúcares técnicos (uso interno)</t>
        </is>
      </c>
      <c r="B31" s="24" t="n">
        <v>14.18</v>
      </c>
      <c r="C31" s="2" t="inlineStr">
        <is>
          <t>g</t>
        </is>
      </c>
    </row>
    <row r="33">
      <c r="A33" s="3" t="inlineStr">
        <is>
          <t>PARÂMETROS DA CALDA</t>
        </is>
      </c>
    </row>
    <row r="34">
      <c r="A34" t="inlineStr">
        <is>
          <t>Sólidos totais</t>
        </is>
      </c>
      <c r="B34" s="14" t="n">
        <v>37.13</v>
      </c>
      <c r="C34" t="inlineStr">
        <is>
          <t>%</t>
        </is>
      </c>
    </row>
    <row r="35">
      <c r="A35" t="inlineStr">
        <is>
          <t>Água</t>
        </is>
      </c>
      <c r="B35" s="14" t="n">
        <v>62.87</v>
      </c>
      <c r="C35" t="inlineStr">
        <is>
          <t>%</t>
        </is>
      </c>
    </row>
    <row r="36">
      <c r="A36" t="inlineStr">
        <is>
          <t>Gordura</t>
        </is>
      </c>
      <c r="B36" s="14" t="n">
        <v>6.14</v>
      </c>
      <c r="C36" t="inlineStr">
        <is>
          <t>%</t>
        </is>
      </c>
    </row>
    <row r="37">
      <c r="A37" t="inlineStr">
        <is>
          <t>Proteína</t>
        </is>
      </c>
      <c r="B37" s="14" t="n">
        <v>5.37</v>
      </c>
      <c r="C37" t="inlineStr">
        <is>
          <t>%</t>
        </is>
      </c>
    </row>
    <row r="38">
      <c r="A38" t="inlineStr">
        <is>
          <t>POD</t>
        </is>
      </c>
      <c r="B38" s="14" t="n">
        <v>147.92</v>
      </c>
      <c r="C38" t="inlineStr"/>
    </row>
    <row r="39">
      <c r="A39" t="inlineStr">
        <is>
          <t>PAC</t>
        </is>
      </c>
      <c r="B39" s="14" t="n">
        <v>369</v>
      </c>
      <c r="C39" t="inlineStr"/>
    </row>
    <row r="40">
      <c r="A40" t="inlineStr">
        <is>
          <t>Janela de consumo</t>
        </is>
      </c>
      <c r="B40" s="14" t="inlineStr">
        <is>
          <t>-15.2 a -20.0</t>
        </is>
      </c>
      <c r="C40" t="inlineStr">
        <is>
          <t>°C</t>
        </is>
      </c>
    </row>
    <row r="41">
      <c r="A41" t="inlineStr">
        <is>
          <t>Água congelada a −8 °C</t>
        </is>
      </c>
      <c r="B41" s="14" t="n">
        <v>60.1</v>
      </c>
      <c r="C41" t="inlineStr">
        <is>
          <t>%</t>
        </is>
      </c>
    </row>
    <row r="43">
      <c r="A43" s="3" t="inlineStr">
        <is>
          <t>LISTA DE INGREDIENTES — RDC 727/2022</t>
        </is>
      </c>
    </row>
    <row r="44" ht="46" customHeight="1">
      <c r="A44" s="4" t="inlineStr">
        <is>
          <t>Ingredientes: leite integral zero lactose, doce de leite viçosa zero, biscoito de alfajor de chocolate, polidextrose, creme de leite zero lactose, leite em po desnatado zl (batavo pense zero), maltitol, umectante glicerol, cremobene premium (liga neutra), sal, edulcorante glicosídeos de esteviol.</t>
        </is>
      </c>
    </row>
    <row r="45">
      <c r="A45" s="3" t="inlineStr">
        <is>
          <t>ALÉRGICOS: CONTÉM LEITE, GLÚTEN.</t>
        </is>
      </c>
    </row>
    <row r="46">
      <c r="A46" t="inlineStr">
        <is>
          <t>Selos: ALTO TEOR DE FIBRAS</t>
        </is>
      </c>
    </row>
    <row r="47">
      <c r="A47" t="inlineStr">
        <is>
          <t>Lupa frontal: nenhuma</t>
        </is>
      </c>
    </row>
  </sheetData>
  <mergeCells count="1">
    <mergeCell ref="A44:H4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5"/>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 width="11" customWidth="1" min="4" max="4"/>
    <col width="11" customWidth="1" min="5" max="5"/>
    <col width="9" customWidth="1" min="6" max="6"/>
    <col width="10" customWidth="1" min="7" max="7"/>
    <col width="10" customWidth="1" min="8" max="8"/>
    <col width="9" customWidth="1" min="9" max="9"/>
    <col width="9" customWidth="1" min="10" max="10"/>
    <col width="9" customWidth="1" min="11" max="11"/>
    <col width="9" customWidth="1" min="12" max="12"/>
    <col width="9" customWidth="1" min="13" max="13"/>
    <col width="10" customWidth="1" min="14" max="14"/>
    <col width="10" customWidth="1" min="15" max="15"/>
  </cols>
  <sheetData>
    <row r="1">
      <c r="A1" s="1" t="inlineStr">
        <is>
          <t>Brigadeiro Proteico</t>
        </is>
      </c>
    </row>
    <row r="2">
      <c r="A2" s="2" t="inlineStr">
        <is>
          <t>linha BOOST · família de formulação: proteica · pote de 140 g</t>
        </is>
      </c>
    </row>
    <row r="4" ht="28" customHeight="1">
      <c r="A4" s="7" t="inlineStr">
        <is>
          <t>Ingrediente</t>
        </is>
      </c>
      <c r="B4" s="7" t="inlineStr">
        <is>
          <t>Nome de rótulo</t>
        </is>
      </c>
      <c r="C4" s="7" t="inlineStr">
        <is>
          <t>g por kg de calda</t>
        </is>
      </c>
      <c r="D4" s="7" t="inlineStr">
        <is>
          <t>% da calda</t>
        </is>
      </c>
      <c r="E4" s="7" t="inlineStr">
        <is>
          <t>g no pote</t>
        </is>
      </c>
      <c r="F4" s="7" t="inlineStr">
        <is>
          <t>kcal</t>
        </is>
      </c>
      <c r="G4" s="7" t="inlineStr">
        <is>
          <t>Açúc. téc.</t>
        </is>
      </c>
      <c r="H4" s="7" t="inlineStr">
        <is>
          <t>Aç. adic.</t>
        </is>
      </c>
      <c r="I4" s="7" t="inlineStr">
        <is>
          <t>Gord.</t>
        </is>
      </c>
      <c r="J4" s="7" t="inlineStr">
        <is>
          <t>G.sat.</t>
        </is>
      </c>
      <c r="K4" s="7" t="inlineStr">
        <is>
          <t>G.trans</t>
        </is>
      </c>
      <c r="L4" s="7" t="inlineStr">
        <is>
          <t>Prot.</t>
        </is>
      </c>
      <c r="M4" s="7" t="inlineStr">
        <is>
          <t>Fibra</t>
        </is>
      </c>
      <c r="N4" s="7" t="inlineStr">
        <is>
          <t>Sól.tot.</t>
        </is>
      </c>
      <c r="O4" s="7" t="inlineStr">
        <is>
          <t>Sódio mg</t>
        </is>
      </c>
    </row>
    <row r="5">
      <c r="A5" s="11" t="inlineStr">
        <is>
          <t>LEITE ZERO LACTOSE (INTEGRAL)</t>
        </is>
      </c>
      <c r="B5" s="11" t="inlineStr">
        <is>
          <t>leite integral zero lactose</t>
        </is>
      </c>
      <c r="C5" s="19" t="n">
        <v>668.5</v>
      </c>
      <c r="D5" s="20">
        <f>C5/SUM(C$5:C$13)</f>
        <v/>
      </c>
      <c r="E5" s="12" t="n">
        <v>93.59</v>
      </c>
      <c r="F5" s="21">
        <f>IFERROR(VLOOKUP($A5,INSUMOS!$A$5:$N$28,4,FALSE),0)*$E5/100</f>
        <v/>
      </c>
      <c r="G5" s="21">
        <f>IFERROR(VLOOKUP($A5,INSUMOS!$A$5:$N$28,5,FALSE),0)*$E5/100</f>
        <v/>
      </c>
      <c r="H5" s="21">
        <f>IFERROR(VLOOKUP($A5,INSUMOS!$A$5:$N$28,6,FALSE),0)*$E5/100/100</f>
        <v/>
      </c>
      <c r="I5" s="21">
        <f>IFERROR(VLOOKUP($A5,INSUMOS!$A$5:$N$28,7,FALSE),0)*$E5/100</f>
        <v/>
      </c>
      <c r="J5" s="21">
        <f>IFERROR(VLOOKUP($A5,INSUMOS!$A$5:$N$28,8,FALSE),0)*$E5/100</f>
        <v/>
      </c>
      <c r="K5" s="21">
        <f>IFERROR(VLOOKUP($A5,INSUMOS!$A$5:$N$28,9,FALSE),0)*$E5/100</f>
        <v/>
      </c>
      <c r="L5" s="21">
        <f>IFERROR(VLOOKUP($A5,INSUMOS!$A$5:$N$28,10,FALSE),0)*$E5/100</f>
        <v/>
      </c>
      <c r="M5" s="21">
        <f>IFERROR(VLOOKUP($A5,INSUMOS!$A$5:$N$28,11,FALSE),0)*$E5/100</f>
        <v/>
      </c>
      <c r="N5" s="21">
        <f>IFERROR(VLOOKUP($A5,INSUMOS!$A$5:$N$28,12,FALSE),0)*$E5/100</f>
        <v/>
      </c>
      <c r="O5" s="21">
        <f>IFERROR(VLOOKUP($A5,INSUMOS!$A$5:$N$28,13,FALSE),0)*$E5/100</f>
        <v/>
      </c>
    </row>
    <row r="6">
      <c r="A6" s="11" t="inlineStr">
        <is>
          <t>BASE MEC PROTEIN</t>
        </is>
      </c>
      <c r="B6" s="11" t="inlineStr">
        <is>
          <t>base proteica</t>
        </is>
      </c>
      <c r="C6" s="19" t="n">
        <v>125</v>
      </c>
      <c r="D6" s="20">
        <f>C6/SUM(C$5:C$13)</f>
        <v/>
      </c>
      <c r="E6" s="12" t="n">
        <v>17.5</v>
      </c>
      <c r="F6" s="21">
        <f>IFERROR(VLOOKUP($A6,INSUMOS!$A$5:$N$28,4,FALSE),0)*$E6/100</f>
        <v/>
      </c>
      <c r="G6" s="21">
        <f>IFERROR(VLOOKUP($A6,INSUMOS!$A$5:$N$28,5,FALSE),0)*$E6/100</f>
        <v/>
      </c>
      <c r="H6" s="21">
        <f>IFERROR(VLOOKUP($A6,INSUMOS!$A$5:$N$28,6,FALSE),0)*$E6/100/100</f>
        <v/>
      </c>
      <c r="I6" s="21">
        <f>IFERROR(VLOOKUP($A6,INSUMOS!$A$5:$N$28,7,FALSE),0)*$E6/100</f>
        <v/>
      </c>
      <c r="J6" s="21">
        <f>IFERROR(VLOOKUP($A6,INSUMOS!$A$5:$N$28,8,FALSE),0)*$E6/100</f>
        <v/>
      </c>
      <c r="K6" s="21">
        <f>IFERROR(VLOOKUP($A6,INSUMOS!$A$5:$N$28,9,FALSE),0)*$E6/100</f>
        <v/>
      </c>
      <c r="L6" s="21">
        <f>IFERROR(VLOOKUP($A6,INSUMOS!$A$5:$N$28,10,FALSE),0)*$E6/100</f>
        <v/>
      </c>
      <c r="M6" s="21">
        <f>IFERROR(VLOOKUP($A6,INSUMOS!$A$5:$N$28,11,FALSE),0)*$E6/100</f>
        <v/>
      </c>
      <c r="N6" s="21">
        <f>IFERROR(VLOOKUP($A6,INSUMOS!$A$5:$N$28,12,FALSE),0)*$E6/100</f>
        <v/>
      </c>
      <c r="O6" s="21">
        <f>IFERROR(VLOOKUP($A6,INSUMOS!$A$5:$N$28,13,FALSE),0)*$E6/100</f>
        <v/>
      </c>
    </row>
    <row r="7">
      <c r="A7" s="11" t="inlineStr">
        <is>
          <t>LEITE EM PO DESNATADO ZL (BATAVO PENSE ZERO)</t>
        </is>
      </c>
      <c r="B7" s="11" t="inlineStr">
        <is>
          <t>leite em po desnatado zl (batavo pense zero)</t>
        </is>
      </c>
      <c r="C7" s="19" t="n">
        <v>115.4</v>
      </c>
      <c r="D7" s="20">
        <f>C7/SUM(C$5:C$13)</f>
        <v/>
      </c>
      <c r="E7" s="12" t="n">
        <v>16.156</v>
      </c>
      <c r="F7" s="21">
        <f>IFERROR(VLOOKUP($A7,INSUMOS!$A$5:$N$28,4,FALSE),0)*$E7/100</f>
        <v/>
      </c>
      <c r="G7" s="21">
        <f>IFERROR(VLOOKUP($A7,INSUMOS!$A$5:$N$28,5,FALSE),0)*$E7/100</f>
        <v/>
      </c>
      <c r="H7" s="21">
        <f>IFERROR(VLOOKUP($A7,INSUMOS!$A$5:$N$28,6,FALSE),0)*$E7/100/100</f>
        <v/>
      </c>
      <c r="I7" s="21">
        <f>IFERROR(VLOOKUP($A7,INSUMOS!$A$5:$N$28,7,FALSE),0)*$E7/100</f>
        <v/>
      </c>
      <c r="J7" s="21">
        <f>IFERROR(VLOOKUP($A7,INSUMOS!$A$5:$N$28,8,FALSE),0)*$E7/100</f>
        <v/>
      </c>
      <c r="K7" s="21">
        <f>IFERROR(VLOOKUP($A7,INSUMOS!$A$5:$N$28,9,FALSE),0)*$E7/100</f>
        <v/>
      </c>
      <c r="L7" s="21">
        <f>IFERROR(VLOOKUP($A7,INSUMOS!$A$5:$N$28,10,FALSE),0)*$E7/100</f>
        <v/>
      </c>
      <c r="M7" s="21">
        <f>IFERROR(VLOOKUP($A7,INSUMOS!$A$5:$N$28,11,FALSE),0)*$E7/100</f>
        <v/>
      </c>
      <c r="N7" s="21">
        <f>IFERROR(VLOOKUP($A7,INSUMOS!$A$5:$N$28,12,FALSE),0)*$E7/100</f>
        <v/>
      </c>
      <c r="O7" s="21">
        <f>IFERROR(VLOOKUP($A7,INSUMOS!$A$5:$N$28,13,FALSE),0)*$E7/100</f>
        <v/>
      </c>
    </row>
    <row r="8">
      <c r="A8" s="11" t="inlineStr">
        <is>
          <t>CACAU 22/24</t>
        </is>
      </c>
      <c r="B8" s="11" t="inlineStr">
        <is>
          <t>cacau em pó alcalinizado</t>
        </is>
      </c>
      <c r="C8" s="19" t="n">
        <v>38.5</v>
      </c>
      <c r="D8" s="20">
        <f>C8/SUM(C$5:C$13)</f>
        <v/>
      </c>
      <c r="E8" s="12" t="n">
        <v>5.39</v>
      </c>
      <c r="F8" s="21">
        <f>IFERROR(VLOOKUP($A8,INSUMOS!$A$5:$N$28,4,FALSE),0)*$E8/100</f>
        <v/>
      </c>
      <c r="G8" s="21">
        <f>IFERROR(VLOOKUP($A8,INSUMOS!$A$5:$N$28,5,FALSE),0)*$E8/100</f>
        <v/>
      </c>
      <c r="H8" s="21">
        <f>IFERROR(VLOOKUP($A8,INSUMOS!$A$5:$N$28,6,FALSE),0)*$E8/100/100</f>
        <v/>
      </c>
      <c r="I8" s="21">
        <f>IFERROR(VLOOKUP($A8,INSUMOS!$A$5:$N$28,7,FALSE),0)*$E8/100</f>
        <v/>
      </c>
      <c r="J8" s="21">
        <f>IFERROR(VLOOKUP($A8,INSUMOS!$A$5:$N$28,8,FALSE),0)*$E8/100</f>
        <v/>
      </c>
      <c r="K8" s="21">
        <f>IFERROR(VLOOKUP($A8,INSUMOS!$A$5:$N$28,9,FALSE),0)*$E8/100</f>
        <v/>
      </c>
      <c r="L8" s="21">
        <f>IFERROR(VLOOKUP($A8,INSUMOS!$A$5:$N$28,10,FALSE),0)*$E8/100</f>
        <v/>
      </c>
      <c r="M8" s="21">
        <f>IFERROR(VLOOKUP($A8,INSUMOS!$A$5:$N$28,11,FALSE),0)*$E8/100</f>
        <v/>
      </c>
      <c r="N8" s="21">
        <f>IFERROR(VLOOKUP($A8,INSUMOS!$A$5:$N$28,12,FALSE),0)*$E8/100</f>
        <v/>
      </c>
      <c r="O8" s="21">
        <f>IFERROR(VLOOKUP($A8,INSUMOS!$A$5:$N$28,13,FALSE),0)*$E8/100</f>
        <v/>
      </c>
    </row>
    <row r="9">
      <c r="A9" s="11" t="inlineStr">
        <is>
          <t>GLICEROL (GLICERINA BIDESTILADA)</t>
        </is>
      </c>
      <c r="B9" s="11" t="inlineStr">
        <is>
          <t>umectante glicerol</t>
        </is>
      </c>
      <c r="C9" s="19" t="n">
        <v>28.9</v>
      </c>
      <c r="D9" s="20">
        <f>C9/SUM(C$5:C$13)</f>
        <v/>
      </c>
      <c r="E9" s="12" t="n">
        <v>4.046</v>
      </c>
      <c r="F9" s="21">
        <f>IFERROR(VLOOKUP($A9,INSUMOS!$A$5:$N$28,4,FALSE),0)*$E9/100</f>
        <v/>
      </c>
      <c r="G9" s="21">
        <f>IFERROR(VLOOKUP($A9,INSUMOS!$A$5:$N$28,5,FALSE),0)*$E9/100</f>
        <v/>
      </c>
      <c r="H9" s="21">
        <f>IFERROR(VLOOKUP($A9,INSUMOS!$A$5:$N$28,6,FALSE),0)*$E9/100/100</f>
        <v/>
      </c>
      <c r="I9" s="21">
        <f>IFERROR(VLOOKUP($A9,INSUMOS!$A$5:$N$28,7,FALSE),0)*$E9/100</f>
        <v/>
      </c>
      <c r="J9" s="21">
        <f>IFERROR(VLOOKUP($A9,INSUMOS!$A$5:$N$28,8,FALSE),0)*$E9/100</f>
        <v/>
      </c>
      <c r="K9" s="21">
        <f>IFERROR(VLOOKUP($A9,INSUMOS!$A$5:$N$28,9,FALSE),0)*$E9/100</f>
        <v/>
      </c>
      <c r="L9" s="21">
        <f>IFERROR(VLOOKUP($A9,INSUMOS!$A$5:$N$28,10,FALSE),0)*$E9/100</f>
        <v/>
      </c>
      <c r="M9" s="21">
        <f>IFERROR(VLOOKUP($A9,INSUMOS!$A$5:$N$28,11,FALSE),0)*$E9/100</f>
        <v/>
      </c>
      <c r="N9" s="21">
        <f>IFERROR(VLOOKUP($A9,INSUMOS!$A$5:$N$28,12,FALSE),0)*$E9/100</f>
        <v/>
      </c>
      <c r="O9" s="21">
        <f>IFERROR(VLOOKUP($A9,INSUMOS!$A$5:$N$28,13,FALSE),0)*$E9/100</f>
        <v/>
      </c>
    </row>
    <row r="10">
      <c r="A10" s="11" t="inlineStr">
        <is>
          <t>POLIDEXTROSE</t>
        </is>
      </c>
      <c r="B10" s="11" t="inlineStr">
        <is>
          <t>polidextrose</t>
        </is>
      </c>
      <c r="C10" s="19" t="n">
        <v>19.2</v>
      </c>
      <c r="D10" s="20">
        <f>C10/SUM(C$5:C$13)</f>
        <v/>
      </c>
      <c r="E10" s="12" t="n">
        <v>2.688</v>
      </c>
      <c r="F10" s="21">
        <f>IFERROR(VLOOKUP($A10,INSUMOS!$A$5:$N$28,4,FALSE),0)*$E10/100</f>
        <v/>
      </c>
      <c r="G10" s="21">
        <f>IFERROR(VLOOKUP($A10,INSUMOS!$A$5:$N$28,5,FALSE),0)*$E10/100</f>
        <v/>
      </c>
      <c r="H10" s="21">
        <f>IFERROR(VLOOKUP($A10,INSUMOS!$A$5:$N$28,6,FALSE),0)*$E10/100/100</f>
        <v/>
      </c>
      <c r="I10" s="21">
        <f>IFERROR(VLOOKUP($A10,INSUMOS!$A$5:$N$28,7,FALSE),0)*$E10/100</f>
        <v/>
      </c>
      <c r="J10" s="21">
        <f>IFERROR(VLOOKUP($A10,INSUMOS!$A$5:$N$28,8,FALSE),0)*$E10/100</f>
        <v/>
      </c>
      <c r="K10" s="21">
        <f>IFERROR(VLOOKUP($A10,INSUMOS!$A$5:$N$28,9,FALSE),0)*$E10/100</f>
        <v/>
      </c>
      <c r="L10" s="21">
        <f>IFERROR(VLOOKUP($A10,INSUMOS!$A$5:$N$28,10,FALSE),0)*$E10/100</f>
        <v/>
      </c>
      <c r="M10" s="21">
        <f>IFERROR(VLOOKUP($A10,INSUMOS!$A$5:$N$28,11,FALSE),0)*$E10/100</f>
        <v/>
      </c>
      <c r="N10" s="21">
        <f>IFERROR(VLOOKUP($A10,INSUMOS!$A$5:$N$28,12,FALSE),0)*$E10/100</f>
        <v/>
      </c>
      <c r="O10" s="21">
        <f>IFERROR(VLOOKUP($A10,INSUMOS!$A$5:$N$28,13,FALSE),0)*$E10/100</f>
        <v/>
      </c>
    </row>
    <row r="11">
      <c r="A11" s="11" t="inlineStr">
        <is>
          <t>CREMOBENE PREMIUM (LIGA NEUTRA)</t>
        </is>
      </c>
      <c r="B11" s="11" t="inlineStr">
        <is>
          <t>cremobene premium (liga neutra)</t>
        </is>
      </c>
      <c r="C11" s="19" t="n">
        <v>3</v>
      </c>
      <c r="D11" s="20">
        <f>C11/SUM(C$5:C$13)</f>
        <v/>
      </c>
      <c r="E11" s="12" t="n">
        <v>0.42</v>
      </c>
      <c r="F11" s="21">
        <f>IFERROR(VLOOKUP($A11,INSUMOS!$A$5:$N$28,4,FALSE),0)*$E11/100</f>
        <v/>
      </c>
      <c r="G11" s="21">
        <f>IFERROR(VLOOKUP($A11,INSUMOS!$A$5:$N$28,5,FALSE),0)*$E11/100</f>
        <v/>
      </c>
      <c r="H11" s="21">
        <f>IFERROR(VLOOKUP($A11,INSUMOS!$A$5:$N$28,6,FALSE),0)*$E11/100/100</f>
        <v/>
      </c>
      <c r="I11" s="21">
        <f>IFERROR(VLOOKUP($A11,INSUMOS!$A$5:$N$28,7,FALSE),0)*$E11/100</f>
        <v/>
      </c>
      <c r="J11" s="21">
        <f>IFERROR(VLOOKUP($A11,INSUMOS!$A$5:$N$28,8,FALSE),0)*$E11/100</f>
        <v/>
      </c>
      <c r="K11" s="21">
        <f>IFERROR(VLOOKUP($A11,INSUMOS!$A$5:$N$28,9,FALSE),0)*$E11/100</f>
        <v/>
      </c>
      <c r="L11" s="21">
        <f>IFERROR(VLOOKUP($A11,INSUMOS!$A$5:$N$28,10,FALSE),0)*$E11/100</f>
        <v/>
      </c>
      <c r="M11" s="21">
        <f>IFERROR(VLOOKUP($A11,INSUMOS!$A$5:$N$28,11,FALSE),0)*$E11/100</f>
        <v/>
      </c>
      <c r="N11" s="21">
        <f>IFERROR(VLOOKUP($A11,INSUMOS!$A$5:$N$28,12,FALSE),0)*$E11/100</f>
        <v/>
      </c>
      <c r="O11" s="21">
        <f>IFERROR(VLOOKUP($A11,INSUMOS!$A$5:$N$28,13,FALSE),0)*$E11/100</f>
        <v/>
      </c>
    </row>
    <row r="12">
      <c r="A12" s="11" t="inlineStr">
        <is>
          <t>SAL</t>
        </is>
      </c>
      <c r="B12" s="11" t="inlineStr">
        <is>
          <t>sal</t>
        </is>
      </c>
      <c r="C12" s="19" t="n">
        <v>1</v>
      </c>
      <c r="D12" s="20">
        <f>C12/SUM(C$5:C$13)</f>
        <v/>
      </c>
      <c r="E12" s="12" t="n">
        <v>0.14</v>
      </c>
      <c r="F12" s="21">
        <f>IFERROR(VLOOKUP($A12,INSUMOS!$A$5:$N$28,4,FALSE),0)*$E12/100</f>
        <v/>
      </c>
      <c r="G12" s="21">
        <f>IFERROR(VLOOKUP($A12,INSUMOS!$A$5:$N$28,5,FALSE),0)*$E12/100</f>
        <v/>
      </c>
      <c r="H12" s="21">
        <f>IFERROR(VLOOKUP($A12,INSUMOS!$A$5:$N$28,6,FALSE),0)*$E12/100/100</f>
        <v/>
      </c>
      <c r="I12" s="21">
        <f>IFERROR(VLOOKUP($A12,INSUMOS!$A$5:$N$28,7,FALSE),0)*$E12/100</f>
        <v/>
      </c>
      <c r="J12" s="21">
        <f>IFERROR(VLOOKUP($A12,INSUMOS!$A$5:$N$28,8,FALSE),0)*$E12/100</f>
        <v/>
      </c>
      <c r="K12" s="21">
        <f>IFERROR(VLOOKUP($A12,INSUMOS!$A$5:$N$28,9,FALSE),0)*$E12/100</f>
        <v/>
      </c>
      <c r="L12" s="21">
        <f>IFERROR(VLOOKUP($A12,INSUMOS!$A$5:$N$28,10,FALSE),0)*$E12/100</f>
        <v/>
      </c>
      <c r="M12" s="21">
        <f>IFERROR(VLOOKUP($A12,INSUMOS!$A$5:$N$28,11,FALSE),0)*$E12/100</f>
        <v/>
      </c>
      <c r="N12" s="21">
        <f>IFERROR(VLOOKUP($A12,INSUMOS!$A$5:$N$28,12,FALSE),0)*$E12/100</f>
        <v/>
      </c>
      <c r="O12" s="21">
        <f>IFERROR(VLOOKUP($A12,INSUMOS!$A$5:$N$28,13,FALSE),0)*$E12/100</f>
        <v/>
      </c>
    </row>
    <row r="13">
      <c r="A13" s="11" t="inlineStr">
        <is>
          <t>STEVIA</t>
        </is>
      </c>
      <c r="B13" s="11" t="inlineStr">
        <is>
          <t>edulcorante glicosídeos de esteviol</t>
        </is>
      </c>
      <c r="C13" s="19" t="n">
        <v>0.6</v>
      </c>
      <c r="D13" s="20">
        <f>C13/SUM(C$5:C$13)</f>
        <v/>
      </c>
      <c r="E13" s="12" t="n">
        <v>0.08400000000000001</v>
      </c>
      <c r="F13" s="21">
        <f>IFERROR(VLOOKUP($A13,INSUMOS!$A$5:$N$28,4,FALSE),0)*$E13/100</f>
        <v/>
      </c>
      <c r="G13" s="21">
        <f>IFERROR(VLOOKUP($A13,INSUMOS!$A$5:$N$28,5,FALSE),0)*$E13/100</f>
        <v/>
      </c>
      <c r="H13" s="21">
        <f>IFERROR(VLOOKUP($A13,INSUMOS!$A$5:$N$28,6,FALSE),0)*$E13/100/100</f>
        <v/>
      </c>
      <c r="I13" s="21">
        <f>IFERROR(VLOOKUP($A13,INSUMOS!$A$5:$N$28,7,FALSE),0)*$E13/100</f>
        <v/>
      </c>
      <c r="J13" s="21">
        <f>IFERROR(VLOOKUP($A13,INSUMOS!$A$5:$N$28,8,FALSE),0)*$E13/100</f>
        <v/>
      </c>
      <c r="K13" s="21">
        <f>IFERROR(VLOOKUP($A13,INSUMOS!$A$5:$N$28,9,FALSE),0)*$E13/100</f>
        <v/>
      </c>
      <c r="L13" s="21">
        <f>IFERROR(VLOOKUP($A13,INSUMOS!$A$5:$N$28,10,FALSE),0)*$E13/100</f>
        <v/>
      </c>
      <c r="M13" s="21">
        <f>IFERROR(VLOOKUP($A13,INSUMOS!$A$5:$N$28,11,FALSE),0)*$E13/100</f>
        <v/>
      </c>
      <c r="N13" s="21">
        <f>IFERROR(VLOOKUP($A13,INSUMOS!$A$5:$N$28,12,FALSE),0)*$E13/100</f>
        <v/>
      </c>
      <c r="O13" s="21">
        <f>IFERROR(VLOOKUP($A13,INSUMOS!$A$5:$N$28,13,FALSE),0)*$E13/100</f>
        <v/>
      </c>
    </row>
    <row r="14">
      <c r="A14" s="17" t="inlineStr">
        <is>
          <t>TOTAL NO POTE</t>
        </is>
      </c>
      <c r="B14" s="17" t="n"/>
      <c r="C14" s="22">
        <f>SUM(C5:C13)</f>
        <v/>
      </c>
      <c r="D14" s="17" t="n"/>
      <c r="E14" s="23">
        <f>SUM(E5:E13)</f>
        <v/>
      </c>
      <c r="F14" s="23">
        <f>SUM(F5:F13)</f>
        <v/>
      </c>
      <c r="G14" s="23">
        <f>SUM(G5:G13)</f>
        <v/>
      </c>
      <c r="H14" s="23">
        <f>SUM(H5:H13)</f>
        <v/>
      </c>
      <c r="I14" s="23">
        <f>SUM(I5:I13)</f>
        <v/>
      </c>
      <c r="J14" s="23">
        <f>SUM(J5:J13)</f>
        <v/>
      </c>
      <c r="K14" s="23">
        <f>SUM(K5:K13)</f>
        <v/>
      </c>
      <c r="L14" s="23">
        <f>SUM(L5:L13)</f>
        <v/>
      </c>
      <c r="M14" s="23">
        <f>SUM(M5:M13)</f>
        <v/>
      </c>
      <c r="N14" s="23">
        <f>SUM(N5:N13)</f>
        <v/>
      </c>
      <c r="O14" s="23">
        <f>SUM(O5:O13)</f>
        <v/>
      </c>
    </row>
    <row r="16">
      <c r="A16" s="3" t="inlineStr">
        <is>
          <t>POR 100 g DE PRODUTO</t>
        </is>
      </c>
    </row>
    <row r="17" ht="28" customHeight="1">
      <c r="A17" s="7" t="inlineStr">
        <is>
          <t>Componente</t>
        </is>
      </c>
      <c r="B17" s="7" t="inlineStr">
        <is>
          <t>Valor</t>
        </is>
      </c>
      <c r="C17" s="7" t="inlineStr">
        <is>
          <t>Unidade</t>
        </is>
      </c>
    </row>
    <row r="18">
      <c r="A18" t="inlineStr">
        <is>
          <t>Valor energético</t>
        </is>
      </c>
      <c r="B18" s="14">
        <f>F14/140*100</f>
        <v/>
      </c>
      <c r="C18" t="inlineStr">
        <is>
          <t>kcal</t>
        </is>
      </c>
    </row>
    <row r="19">
      <c r="A19" t="inlineStr">
        <is>
          <t>Açúcares totais (rótulo)</t>
        </is>
      </c>
      <c r="B19" s="14" t="n">
        <v>14.265</v>
      </c>
      <c r="C19" t="inlineStr">
        <is>
          <t>g</t>
        </is>
      </c>
    </row>
    <row r="20">
      <c r="A20" t="inlineStr">
        <is>
          <t xml:space="preserve">   dos quais adicionados</t>
        </is>
      </c>
      <c r="B20" s="14">
        <f>H14/140*100</f>
        <v/>
      </c>
      <c r="C20" t="inlineStr">
        <is>
          <t>g</t>
        </is>
      </c>
    </row>
    <row r="21">
      <c r="A21" t="inlineStr">
        <is>
          <t>Polióis</t>
        </is>
      </c>
      <c r="B21" s="14" t="n">
        <v>0</v>
      </c>
      <c r="C21" t="inlineStr">
        <is>
          <t>g</t>
        </is>
      </c>
    </row>
    <row r="22">
      <c r="A22" t="inlineStr">
        <is>
          <t>Fibras alimentares</t>
        </is>
      </c>
      <c r="B22" s="14">
        <f>M14/140*100</f>
        <v/>
      </c>
      <c r="C22" t="inlineStr">
        <is>
          <t>g</t>
        </is>
      </c>
    </row>
    <row r="23">
      <c r="A23" t="inlineStr">
        <is>
          <t>Proteínas</t>
        </is>
      </c>
      <c r="B23" s="14">
        <f>L14/140*100</f>
        <v/>
      </c>
      <c r="C23" t="inlineStr">
        <is>
          <t>g</t>
        </is>
      </c>
    </row>
    <row r="24">
      <c r="A24" t="inlineStr">
        <is>
          <t>Gorduras totais</t>
        </is>
      </c>
      <c r="B24" s="14">
        <f>I14/140*100</f>
        <v/>
      </c>
      <c r="C24" t="inlineStr">
        <is>
          <t>g</t>
        </is>
      </c>
    </row>
    <row r="25">
      <c r="A25" t="inlineStr">
        <is>
          <t xml:space="preserve">   das quais saturadas</t>
        </is>
      </c>
      <c r="B25" s="14">
        <f>J14/140*100</f>
        <v/>
      </c>
      <c r="C25" t="inlineStr">
        <is>
          <t>g</t>
        </is>
      </c>
    </row>
    <row r="26">
      <c r="A26" t="inlineStr">
        <is>
          <t xml:space="preserve">   das quais trans</t>
        </is>
      </c>
      <c r="B26" s="14">
        <f>K14/140*100</f>
        <v/>
      </c>
      <c r="C26" t="inlineStr">
        <is>
          <t>g</t>
        </is>
      </c>
    </row>
    <row r="27">
      <c r="A27" t="inlineStr">
        <is>
          <t>Sódio</t>
        </is>
      </c>
      <c r="B27" s="14">
        <f>O14/140*100</f>
        <v/>
      </c>
      <c r="C27" t="inlineStr">
        <is>
          <t>mg</t>
        </is>
      </c>
    </row>
    <row r="28">
      <c r="A28" t="inlineStr">
        <is>
          <t>Sólidos totais</t>
        </is>
      </c>
      <c r="B28" s="14">
        <f>N14/140*100</f>
        <v/>
      </c>
      <c r="C28" t="inlineStr">
        <is>
          <t>g</t>
        </is>
      </c>
    </row>
    <row r="29">
      <c r="A29" s="2" t="inlineStr">
        <is>
          <t>Açúcares técnicos (uso interno)</t>
        </is>
      </c>
      <c r="B29" s="24" t="n">
        <v>14.265</v>
      </c>
      <c r="C29" s="2" t="inlineStr">
        <is>
          <t>g</t>
        </is>
      </c>
    </row>
    <row r="31">
      <c r="A31" s="3" t="inlineStr">
        <is>
          <t>PARÂMETROS DA CALDA</t>
        </is>
      </c>
    </row>
    <row r="32">
      <c r="A32" t="inlineStr">
        <is>
          <t>Sólidos totais</t>
        </is>
      </c>
      <c r="B32" s="14" t="n">
        <v>40.63</v>
      </c>
      <c r="C32" t="inlineStr">
        <is>
          <t>%</t>
        </is>
      </c>
    </row>
    <row r="33">
      <c r="A33" t="inlineStr">
        <is>
          <t>Água</t>
        </is>
      </c>
      <c r="B33" s="14" t="n">
        <v>59.37</v>
      </c>
      <c r="C33" t="inlineStr">
        <is>
          <t>%</t>
        </is>
      </c>
    </row>
    <row r="34">
      <c r="A34" t="inlineStr">
        <is>
          <t>Gordura</t>
        </is>
      </c>
      <c r="B34" s="14" t="n">
        <v>5.44</v>
      </c>
      <c r="C34" t="inlineStr">
        <is>
          <t>%</t>
        </is>
      </c>
    </row>
    <row r="35">
      <c r="A35" t="inlineStr">
        <is>
          <t>Proteína</t>
        </is>
      </c>
      <c r="B35" s="14" t="n">
        <v>10.13</v>
      </c>
      <c r="C35" t="inlineStr">
        <is>
          <t>%</t>
        </is>
      </c>
    </row>
    <row r="36">
      <c r="A36" t="inlineStr">
        <is>
          <t>POD</t>
        </is>
      </c>
      <c r="B36" s="14" t="n">
        <v>161.23</v>
      </c>
      <c r="C36" t="inlineStr"/>
    </row>
    <row r="37">
      <c r="A37" t="inlineStr">
        <is>
          <t>PAC</t>
        </is>
      </c>
      <c r="B37" s="14" t="n">
        <v>332.21</v>
      </c>
      <c r="C37" t="inlineStr"/>
    </row>
    <row r="38">
      <c r="A38" t="inlineStr">
        <is>
          <t>Janela de consumo</t>
        </is>
      </c>
      <c r="B38" s="14" t="inlineStr">
        <is>
          <t>-14.5 a -19.0</t>
        </is>
      </c>
      <c r="C38" t="inlineStr">
        <is>
          <t>°C</t>
        </is>
      </c>
    </row>
    <row r="39">
      <c r="A39" t="inlineStr">
        <is>
          <t>Água congelada a −8 °C</t>
        </is>
      </c>
      <c r="B39" s="14" t="n">
        <v>61.96</v>
      </c>
      <c r="C39" t="inlineStr">
        <is>
          <t>%</t>
        </is>
      </c>
    </row>
    <row r="41">
      <c r="A41" s="3" t="inlineStr">
        <is>
          <t>LISTA DE INGREDIENTES — RDC 727/2022</t>
        </is>
      </c>
    </row>
    <row r="42" ht="46" customHeight="1">
      <c r="A42" s="4" t="inlineStr">
        <is>
          <t>Ingredientes: leite integral zero lactose, base proteica, leite em po desnatado zl (batavo pense zero), cacau em pó alcalinizado, umectante glicerol, polidextrose, cremobene premium (liga neutra), sal, edulcorante glicosídeos de esteviol.</t>
        </is>
      </c>
    </row>
    <row r="43">
      <c r="A43" s="3" t="inlineStr">
        <is>
          <t>ALÉRGICOS: CONTÉM LEITE.</t>
        </is>
      </c>
    </row>
    <row r="44">
      <c r="A44" t="inlineStr">
        <is>
          <t>Selos: FONTE DE FIBRAS · FONTE DE PROTEÍNA · SEM ADIÇÃO DE AÇÚCARES</t>
        </is>
      </c>
    </row>
    <row r="45">
      <c r="A45" t="inlineStr">
        <is>
          <t>Lupa frontal: nenhuma</t>
        </is>
      </c>
    </row>
  </sheetData>
  <mergeCells count="1">
    <mergeCell ref="A42:H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0" customWidth="1" min="3" max="3"/>
    <col width="9" customWidth="1" min="4" max="4"/>
    <col width="11" customWidth="1" min="5" max="5"/>
    <col width="10" customWidth="1" min="6" max="6"/>
    <col width="11" customWidth="1" min="7" max="7"/>
    <col width="11" customWidth="1" min="8" max="8"/>
    <col width="10" customWidth="1" min="9" max="9"/>
    <col width="9" customWidth="1" min="10" max="10"/>
    <col width="9" customWidth="1" min="11" max="11"/>
    <col width="11" customWidth="1" min="12" max="12"/>
    <col width="40" customWidth="1" min="13" max="13"/>
    <col width="20" customWidth="1" min="14" max="14"/>
  </cols>
  <sheetData>
    <row r="1">
      <c r="A1" s="1" t="inlineStr">
        <is>
          <t>Comparativo dos 7 sabores — por pote</t>
        </is>
      </c>
    </row>
    <row r="2">
      <c r="A2" s="2" t="inlineStr">
        <is>
          <t>Alfajor em pote de 150 g; demais em 140 g.</t>
        </is>
      </c>
    </row>
    <row r="4" ht="28" customHeight="1">
      <c r="A4" s="7" t="inlineStr">
        <is>
          <t>Sabor</t>
        </is>
      </c>
      <c r="B4" s="7" t="inlineStr">
        <is>
          <t>Linha</t>
        </is>
      </c>
      <c r="C4" s="7" t="inlineStr">
        <is>
          <t>Pote (g)</t>
        </is>
      </c>
      <c r="D4" s="7" t="inlineStr">
        <is>
          <t>kcal</t>
        </is>
      </c>
      <c r="E4" s="7" t="inlineStr">
        <is>
          <t>Açúcares</t>
        </is>
      </c>
      <c r="F4" s="7" t="inlineStr">
        <is>
          <t>Polióis</t>
        </is>
      </c>
      <c r="G4" s="7" t="inlineStr">
        <is>
          <t>Aç. adic.</t>
        </is>
      </c>
      <c r="H4" s="7" t="inlineStr">
        <is>
          <t>Proteínas</t>
        </is>
      </c>
      <c r="I4" s="7" t="inlineStr">
        <is>
          <t>Gorduras</t>
        </is>
      </c>
      <c r="J4" s="7" t="inlineStr">
        <is>
          <t>G. sat.</t>
        </is>
      </c>
      <c r="K4" s="7" t="inlineStr">
        <is>
          <t>Fibras</t>
        </is>
      </c>
      <c r="L4" s="7" t="inlineStr">
        <is>
          <t>Sódio (mg)</t>
        </is>
      </c>
      <c r="M4" s="7" t="inlineStr">
        <is>
          <t>Selos</t>
        </is>
      </c>
      <c r="N4" s="7" t="inlineStr">
        <is>
          <t>Lupa</t>
        </is>
      </c>
    </row>
    <row r="5">
      <c r="A5" s="11" t="inlineStr">
        <is>
          <t>Café Proteico</t>
        </is>
      </c>
      <c r="B5" s="11" t="inlineStr">
        <is>
          <t>BOOST</t>
        </is>
      </c>
      <c r="C5" s="11" t="n">
        <v>140</v>
      </c>
      <c r="D5" s="19" t="n">
        <v>275</v>
      </c>
      <c r="E5" s="19" t="n">
        <v>21.4</v>
      </c>
      <c r="F5" s="19" t="n">
        <v>0</v>
      </c>
      <c r="G5" s="19" t="n">
        <v>0</v>
      </c>
      <c r="H5" s="19" t="n">
        <v>15</v>
      </c>
      <c r="I5" s="19" t="n">
        <v>12.7</v>
      </c>
      <c r="J5" s="19" t="n">
        <v>4.7</v>
      </c>
      <c r="K5" s="19" t="n">
        <v>4.7</v>
      </c>
      <c r="L5" s="19" t="n">
        <v>217</v>
      </c>
      <c r="M5" s="11" t="inlineStr">
        <is>
          <t>FONTE DE FIBRAS · FONTE DE PROTEÍNA · SEM ADIÇÃO DE AÇÚCARES</t>
        </is>
      </c>
      <c r="N5" s="11" t="inlineStr">
        <is>
          <t>nenhuma</t>
        </is>
      </c>
    </row>
    <row r="6">
      <c r="A6" s="11" t="inlineStr">
        <is>
          <t>Pistache</t>
        </is>
      </c>
      <c r="B6" s="11" t="inlineStr">
        <is>
          <t>SPECIAL</t>
        </is>
      </c>
      <c r="C6" s="11" t="n">
        <v>140</v>
      </c>
      <c r="D6" s="19" t="n">
        <v>215</v>
      </c>
      <c r="E6" s="19" t="n">
        <v>10.2</v>
      </c>
      <c r="F6" s="19" t="n">
        <v>9.300000000000001</v>
      </c>
      <c r="G6" s="19" t="n">
        <v>0</v>
      </c>
      <c r="H6" s="19" t="n">
        <v>8.699999999999999</v>
      </c>
      <c r="I6" s="19" t="n">
        <v>13.3</v>
      </c>
      <c r="J6" s="19" t="n">
        <v>6.1</v>
      </c>
      <c r="K6" s="19" t="n">
        <v>10.5</v>
      </c>
      <c r="L6" s="19" t="n">
        <v>83</v>
      </c>
      <c r="M6" s="11" t="inlineStr">
        <is>
          <t>ALTO TEOR DE FIBRAS · FONTE DE PROTEÍNA · SEM ADIÇÃO DE AÇÚCARES</t>
        </is>
      </c>
      <c r="N6" s="11" t="inlineStr">
        <is>
          <t>nenhuma</t>
        </is>
      </c>
    </row>
    <row r="7">
      <c r="A7" s="11" t="inlineStr">
        <is>
          <t>Manga com Maracujá</t>
        </is>
      </c>
      <c r="B7" s="11" t="inlineStr">
        <is>
          <t>FRESH</t>
        </is>
      </c>
      <c r="C7" s="11" t="n">
        <v>140</v>
      </c>
      <c r="D7" s="19" t="n">
        <v>104</v>
      </c>
      <c r="E7" s="19" t="n">
        <v>17.2</v>
      </c>
      <c r="F7" s="19" t="n">
        <v>6.5</v>
      </c>
      <c r="G7" s="19" t="n">
        <v>0</v>
      </c>
      <c r="H7" s="19" t="n">
        <v>1.1</v>
      </c>
      <c r="I7" s="19" t="n">
        <v>0.6</v>
      </c>
      <c r="J7" s="19" t="n">
        <v>0</v>
      </c>
      <c r="K7" s="19" t="n">
        <v>19.6</v>
      </c>
      <c r="L7" s="19" t="n">
        <v>6</v>
      </c>
      <c r="M7" s="11" t="inlineStr">
        <is>
          <t>ALTO TEOR DE FIBRAS · SEM ADIÇÃO DE AÇÚCARES</t>
        </is>
      </c>
      <c r="N7" s="11" t="inlineStr">
        <is>
          <t>nenhuma</t>
        </is>
      </c>
    </row>
    <row r="8">
      <c r="A8" s="11" t="inlineStr">
        <is>
          <t>Sorbet Morango</t>
        </is>
      </c>
      <c r="B8" s="11" t="inlineStr">
        <is>
          <t>FRESH</t>
        </is>
      </c>
      <c r="C8" s="11" t="n">
        <v>140</v>
      </c>
      <c r="D8" s="19" t="n">
        <v>83</v>
      </c>
      <c r="E8" s="19" t="n">
        <v>8.300000000000001</v>
      </c>
      <c r="F8" s="19" t="n">
        <v>14.5</v>
      </c>
      <c r="G8" s="19" t="n">
        <v>0.66</v>
      </c>
      <c r="H8" s="19" t="n">
        <v>1</v>
      </c>
      <c r="I8" s="19" t="n">
        <v>0.6</v>
      </c>
      <c r="J8" s="19" t="n">
        <v>0</v>
      </c>
      <c r="K8" s="19" t="n">
        <v>19.5</v>
      </c>
      <c r="L8" s="19" t="n">
        <v>6</v>
      </c>
      <c r="M8" s="11" t="inlineStr">
        <is>
          <t>ALTO TEOR DE FIBRAS</t>
        </is>
      </c>
      <c r="N8" s="11" t="inlineStr">
        <is>
          <t>nenhuma</t>
        </is>
      </c>
    </row>
    <row r="9">
      <c r="A9" s="11" t="inlineStr">
        <is>
          <t>Torta de Limão</t>
        </is>
      </c>
      <c r="B9" s="11" t="inlineStr">
        <is>
          <t>SPECIAL</t>
        </is>
      </c>
      <c r="C9" s="11" t="n">
        <v>140</v>
      </c>
      <c r="D9" s="19" t="n">
        <v>200</v>
      </c>
      <c r="E9" s="19" t="n">
        <v>12.4</v>
      </c>
      <c r="F9" s="19" t="n">
        <v>8.1</v>
      </c>
      <c r="G9" s="19" t="n">
        <v>0</v>
      </c>
      <c r="H9" s="19" t="n">
        <v>5.1</v>
      </c>
      <c r="I9" s="19" t="n">
        <v>9.1</v>
      </c>
      <c r="J9" s="19" t="n">
        <v>5.8</v>
      </c>
      <c r="K9" s="19" t="n">
        <v>14.3</v>
      </c>
      <c r="L9" s="19" t="n">
        <v>89</v>
      </c>
      <c r="M9" s="11" t="inlineStr">
        <is>
          <t>ALTO TEOR DE FIBRAS · SEM ADIÇÃO DE AÇÚCARES</t>
        </is>
      </c>
      <c r="N9" s="11" t="inlineStr">
        <is>
          <t>nenhuma</t>
        </is>
      </c>
    </row>
    <row r="10">
      <c r="A10" s="11" t="inlineStr">
        <is>
          <t>Alfajor</t>
        </is>
      </c>
      <c r="B10" s="11" t="inlineStr">
        <is>
          <t>SPECIAL</t>
        </is>
      </c>
      <c r="C10" s="11" t="n">
        <v>150</v>
      </c>
      <c r="D10" s="19" t="n">
        <v>244</v>
      </c>
      <c r="E10" s="19" t="n">
        <v>11.7</v>
      </c>
      <c r="F10" s="19" t="n">
        <v>9.6</v>
      </c>
      <c r="G10" s="19" t="n">
        <v>0.01</v>
      </c>
      <c r="H10" s="19" t="n">
        <v>7.9</v>
      </c>
      <c r="I10" s="19" t="n">
        <v>12.5</v>
      </c>
      <c r="J10" s="19" t="n">
        <v>7.7</v>
      </c>
      <c r="K10" s="19" t="n">
        <v>9.4</v>
      </c>
      <c r="L10" s="19" t="n">
        <v>209</v>
      </c>
      <c r="M10" s="11" t="inlineStr">
        <is>
          <t>ALTO TEOR DE FIBRAS</t>
        </is>
      </c>
      <c r="N10" s="11" t="inlineStr">
        <is>
          <t>nenhuma</t>
        </is>
      </c>
    </row>
    <row r="11">
      <c r="A11" s="11" t="inlineStr">
        <is>
          <t>Brigadeiro Proteico</t>
        </is>
      </c>
      <c r="B11" s="11" t="inlineStr">
        <is>
          <t>BOOST</t>
        </is>
      </c>
      <c r="C11" s="11" t="n">
        <v>140</v>
      </c>
      <c r="D11" s="19" t="n">
        <v>217</v>
      </c>
      <c r="E11" s="19" t="n">
        <v>20</v>
      </c>
      <c r="F11" s="19" t="n">
        <v>0</v>
      </c>
      <c r="G11" s="19" t="n">
        <v>0</v>
      </c>
      <c r="H11" s="19" t="n">
        <v>14.2</v>
      </c>
      <c r="I11" s="19" t="n">
        <v>7.6</v>
      </c>
      <c r="J11" s="19" t="n">
        <v>5</v>
      </c>
      <c r="K11" s="19" t="n">
        <v>6.5</v>
      </c>
      <c r="L11" s="19" t="n">
        <v>235</v>
      </c>
      <c r="M11" s="11" t="inlineStr">
        <is>
          <t>FONTE DE FIBRAS · FONTE DE PROTEÍNA · SEM ADIÇÃO DE AÇÚCARES</t>
        </is>
      </c>
      <c r="N11" s="11" t="inlineStr">
        <is>
          <t>nenhuma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2026-10-21T15:24:26Z</dcterms:created>
  <dcterms:modified xmlns:dcterms="http://purl.org/dc/terms/" xmlns:xsi="http://www.w3.org/2001/XMLSchema-instance" xsi:type="dcterms:W3CDTF">2026-10-21T15:24:26Z</dcterms:modified>
</cp:coreProperties>
</file>